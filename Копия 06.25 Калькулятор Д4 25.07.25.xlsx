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Сайфетдинов Эдуард\Desktop\"/>
    </mc:Choice>
  </mc:AlternateContent>
  <bookViews>
    <workbookView xWindow="-105" yWindow="-105" windowWidth="23250" windowHeight="12570" firstSheet="4" activeTab="8"/>
  </bookViews>
  <sheets>
    <sheet name="Лист1" sheetId="1" state="hidden" r:id="rId1"/>
    <sheet name="СВОД" sheetId="8" state="hidden" r:id="rId2"/>
    <sheet name="РД" sheetId="3" state="hidden" r:id="rId3"/>
    <sheet name="НООВ" sheetId="10" state="hidden" r:id="rId4"/>
    <sheet name="НК, РГ" sheetId="4" r:id="rId5"/>
    <sheet name="мех" sheetId="14" r:id="rId6"/>
    <sheet name="ФОТ Д4" sheetId="12" state="hidden" r:id="rId7"/>
    <sheet name="РД4, ГМ" sheetId="13" r:id="rId8"/>
    <sheet name="Д4-ФОТ " sheetId="17" r:id="rId9"/>
    <sheet name="Зарплата НК по месяцам" sheetId="11" state="hidden" r:id="rId10"/>
    <sheet name="механики" sheetId="5" state="hidden" r:id="rId11"/>
    <sheet name="контролеры" sheetId="6" state="hidden" r:id="rId12"/>
    <sheet name="СПТД, курьер" sheetId="7" state="hidden" r:id="rId13"/>
  </sheets>
  <externalReferences>
    <externalReference r:id="rId14"/>
  </externalReferences>
  <definedNames>
    <definedName name="_xlnm._FilterDatabase" localSheetId="4" hidden="1">'НК, РГ'!$A$51:$AD$60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" i="17" l="1"/>
  <c r="Y20" i="17" s="1"/>
  <c r="U21" i="17"/>
  <c r="Y21" i="17" s="1"/>
  <c r="U22" i="17"/>
  <c r="Y22" i="17" s="1"/>
  <c r="U24" i="17"/>
  <c r="Y24" i="17" s="1"/>
  <c r="U25" i="17"/>
  <c r="Y25" i="17" s="1"/>
  <c r="U27" i="17"/>
  <c r="Y27" i="17" s="1"/>
  <c r="U29" i="17"/>
  <c r="Y29" i="17" s="1"/>
  <c r="U30" i="17"/>
  <c r="Y30" i="17" s="1"/>
  <c r="U31" i="17"/>
  <c r="Y31" i="17" s="1"/>
  <c r="U32" i="17"/>
  <c r="Y32" i="17" s="1"/>
  <c r="U18" i="17"/>
  <c r="Y18" i="17" s="1"/>
  <c r="T27" i="14"/>
  <c r="X28" i="17" s="1"/>
  <c r="T25" i="14"/>
  <c r="X23" i="17" s="1"/>
  <c r="T24" i="14"/>
  <c r="X19" i="17" s="1"/>
  <c r="N27" i="14"/>
  <c r="N26" i="14"/>
  <c r="N25" i="14"/>
  <c r="N24" i="14"/>
  <c r="C28" i="14" l="1"/>
  <c r="J25" i="14"/>
  <c r="I25" i="14"/>
  <c r="K56" i="4" l="1"/>
  <c r="G56" i="4"/>
  <c r="X53" i="4" l="1"/>
  <c r="X52" i="4"/>
  <c r="X54" i="4"/>
  <c r="G57" i="4"/>
  <c r="G53" i="4"/>
  <c r="G54" i="4"/>
  <c r="G55" i="4"/>
  <c r="G52" i="4"/>
  <c r="F57" i="4" l="1"/>
  <c r="F54" i="4"/>
  <c r="S16" i="17"/>
  <c r="U16" i="17" s="1"/>
  <c r="N16" i="17"/>
  <c r="S15" i="17"/>
  <c r="N15" i="17"/>
  <c r="Q15" i="17" s="1"/>
  <c r="S14" i="17"/>
  <c r="U14" i="17" s="1"/>
  <c r="N14" i="17"/>
  <c r="Q14" i="17" s="1"/>
  <c r="S13" i="17"/>
  <c r="N13" i="17"/>
  <c r="Q13" i="17" s="1"/>
  <c r="S12" i="17"/>
  <c r="N12" i="17"/>
  <c r="Q12" i="17" s="1"/>
  <c r="U11" i="17"/>
  <c r="N11" i="17"/>
  <c r="Q11" i="17" s="1"/>
  <c r="S10" i="17"/>
  <c r="N10" i="17"/>
  <c r="Q10" i="17" s="1"/>
  <c r="S9" i="17"/>
  <c r="U9" i="17" s="1"/>
  <c r="N9" i="17"/>
  <c r="Q9" i="17" s="1"/>
  <c r="S8" i="17"/>
  <c r="N8" i="17"/>
  <c r="Q8" i="17" l="1"/>
  <c r="Y16" i="17"/>
  <c r="Y11" i="17"/>
  <c r="Q16" i="17"/>
  <c r="Y9" i="17"/>
  <c r="Y14" i="17"/>
  <c r="F22" i="4" l="1"/>
  <c r="E24" i="14"/>
  <c r="D27" i="14"/>
  <c r="D26" i="14"/>
  <c r="D25" i="14"/>
  <c r="D24" i="14"/>
  <c r="D7" i="13"/>
  <c r="C7" i="13"/>
  <c r="P33" i="17"/>
  <c r="L33" i="17"/>
  <c r="I33" i="17"/>
  <c r="AB33" i="17"/>
  <c r="AA33" i="17"/>
  <c r="X33" i="17"/>
  <c r="W33" i="17"/>
  <c r="V33" i="17"/>
  <c r="O33" i="17"/>
  <c r="M33" i="17"/>
  <c r="H33" i="17"/>
  <c r="F33" i="17"/>
  <c r="L17" i="17"/>
  <c r="AB17" i="17"/>
  <c r="AA17" i="17"/>
  <c r="X17" i="17"/>
  <c r="W17" i="17"/>
  <c r="V17" i="17"/>
  <c r="M17" i="17"/>
  <c r="H17" i="17"/>
  <c r="F17" i="17"/>
  <c r="C17" i="17"/>
  <c r="AA7" i="17"/>
  <c r="P7" i="17"/>
  <c r="K7" i="17"/>
  <c r="AB7" i="17"/>
  <c r="X7" i="17"/>
  <c r="W7" i="17"/>
  <c r="V7" i="17"/>
  <c r="R7" i="17"/>
  <c r="M7" i="17"/>
  <c r="H7" i="17"/>
  <c r="F7" i="17"/>
  <c r="C7" i="17"/>
  <c r="R5" i="17"/>
  <c r="P5" i="17"/>
  <c r="O5" i="17"/>
  <c r="L5" i="17"/>
  <c r="K5" i="17"/>
  <c r="G5" i="17"/>
  <c r="AB5" i="17"/>
  <c r="AA5" i="17"/>
  <c r="X5" i="17"/>
  <c r="W5" i="17"/>
  <c r="V5" i="17"/>
  <c r="T5" i="17"/>
  <c r="M5" i="17"/>
  <c r="I5" i="17"/>
  <c r="H5" i="17"/>
  <c r="F5" i="17"/>
  <c r="E5" i="17"/>
  <c r="D5" i="17"/>
  <c r="C5" i="17"/>
  <c r="AB4" i="17" l="1"/>
  <c r="W4" i="17"/>
  <c r="F4" i="17"/>
  <c r="C33" i="17"/>
  <c r="C4" i="17" s="1"/>
  <c r="AA4" i="17"/>
  <c r="I7" i="17"/>
  <c r="O7" i="17"/>
  <c r="M4" i="17"/>
  <c r="D33" i="17"/>
  <c r="E33" i="17"/>
  <c r="J7" i="17"/>
  <c r="H4" i="17"/>
  <c r="X4" i="17"/>
  <c r="V4" i="17"/>
  <c r="P17" i="17"/>
  <c r="P4" i="17" s="1"/>
  <c r="U33" i="17"/>
  <c r="S33" i="17"/>
  <c r="J5" i="17"/>
  <c r="E7" i="17"/>
  <c r="G7" i="17"/>
  <c r="D17" i="17"/>
  <c r="S5" i="17"/>
  <c r="U5" i="17"/>
  <c r="L7" i="17"/>
  <c r="L4" i="17" s="1"/>
  <c r="J17" i="17"/>
  <c r="G33" i="17"/>
  <c r="D7" i="17"/>
  <c r="E17" i="17"/>
  <c r="G17" i="17"/>
  <c r="O17" i="17"/>
  <c r="T33" i="17"/>
  <c r="R17" i="17"/>
  <c r="I17" i="17"/>
  <c r="R33" i="17"/>
  <c r="K17" i="17"/>
  <c r="J33" i="17"/>
  <c r="K33" i="17"/>
  <c r="O4" i="17" l="1"/>
  <c r="D4" i="17"/>
  <c r="I4" i="17"/>
  <c r="G4" i="17"/>
  <c r="R4" i="17"/>
  <c r="E4" i="17"/>
  <c r="N7" i="17"/>
  <c r="Q7" i="17"/>
  <c r="S17" i="17"/>
  <c r="J4" i="17"/>
  <c r="N33" i="17"/>
  <c r="Q33" i="17"/>
  <c r="N17" i="17"/>
  <c r="Q5" i="17"/>
  <c r="N5" i="17"/>
  <c r="K4" i="17"/>
  <c r="S7" i="17"/>
  <c r="S4" i="17" s="1"/>
  <c r="N4" i="17" l="1"/>
  <c r="Q17" i="17"/>
  <c r="Q4" i="17" s="1"/>
  <c r="Y5" i="17"/>
  <c r="Y33" i="17"/>
  <c r="Z5" i="17" l="1"/>
  <c r="AC5" i="17"/>
  <c r="AC33" i="17"/>
  <c r="Z33" i="17"/>
  <c r="Z7" i="17"/>
  <c r="AC7" i="17"/>
  <c r="AC17" i="17"/>
  <c r="Z17" i="17"/>
  <c r="AC4" i="17" l="1"/>
  <c r="Z4" i="17"/>
  <c r="X57" i="4" l="1"/>
  <c r="X55" i="4"/>
  <c r="T52" i="4" l="1"/>
  <c r="O24" i="14" l="1"/>
  <c r="E23" i="4"/>
  <c r="D22" i="4"/>
  <c r="D21" i="4"/>
  <c r="D20" i="4"/>
  <c r="D23" i="4" l="1"/>
  <c r="X56" i="4"/>
  <c r="F23" i="4" l="1"/>
  <c r="G58" i="4" l="1"/>
  <c r="L54" i="4" l="1"/>
  <c r="T54" i="4"/>
  <c r="F56" i="4"/>
  <c r="U55" i="4" l="1"/>
  <c r="S23" i="4" l="1"/>
  <c r="D28" i="14" l="1"/>
  <c r="O27" i="14" l="1"/>
  <c r="P27" i="14" s="1"/>
  <c r="O26" i="14"/>
  <c r="P26" i="14" s="1"/>
  <c r="AD59" i="4"/>
  <c r="AE58" i="4"/>
  <c r="V28" i="14"/>
  <c r="T28" i="14"/>
  <c r="J59" i="4"/>
  <c r="G26" i="14"/>
  <c r="G27" i="14"/>
  <c r="E26" i="14"/>
  <c r="E27" i="14"/>
  <c r="H26" i="14" l="1"/>
  <c r="H27" i="14"/>
  <c r="Q27" i="14"/>
  <c r="Q26" i="14"/>
  <c r="J28" i="14"/>
  <c r="I28" i="14"/>
  <c r="K26" i="14"/>
  <c r="L26" i="14" s="1"/>
  <c r="M26" i="14" s="1"/>
  <c r="K27" i="14"/>
  <c r="L27" i="14" s="1"/>
  <c r="M27" i="14" s="1"/>
  <c r="R26" i="14" l="1"/>
  <c r="T26" i="17" s="1"/>
  <c r="U26" i="17" s="1"/>
  <c r="Y26" i="17" s="1"/>
  <c r="R27" i="14"/>
  <c r="T28" i="17" s="1"/>
  <c r="U28" i="17" s="1"/>
  <c r="Y28" i="17" s="1"/>
  <c r="S27" i="14" l="1"/>
  <c r="U27" i="14"/>
  <c r="S26" i="14"/>
  <c r="U26" i="14"/>
  <c r="P24" i="14" l="1"/>
  <c r="K24" i="14"/>
  <c r="L24" i="14" s="1"/>
  <c r="G24" i="14"/>
  <c r="H24" i="14" s="1"/>
  <c r="O25" i="14"/>
  <c r="P25" i="14" s="1"/>
  <c r="K25" i="14"/>
  <c r="L25" i="14" s="1"/>
  <c r="G25" i="14"/>
  <c r="E25" i="14"/>
  <c r="E28" i="14" s="1"/>
  <c r="N22" i="14"/>
  <c r="D17" i="14"/>
  <c r="E16" i="14"/>
  <c r="D11" i="14"/>
  <c r="I15" i="14" s="1"/>
  <c r="D9" i="14"/>
  <c r="G14" i="14" s="1"/>
  <c r="G15" i="14" l="1"/>
  <c r="G16" i="14" s="1"/>
  <c r="F15" i="14"/>
  <c r="H15" i="14"/>
  <c r="H25" i="14"/>
  <c r="M24" i="14"/>
  <c r="Q24" i="14"/>
  <c r="H14" i="14"/>
  <c r="Q25" i="14"/>
  <c r="I14" i="14"/>
  <c r="I16" i="14" s="1"/>
  <c r="M25" i="14"/>
  <c r="F14" i="14"/>
  <c r="H16" i="14" l="1"/>
  <c r="H28" i="14"/>
  <c r="Q28" i="14"/>
  <c r="M28" i="14"/>
  <c r="F16" i="14"/>
  <c r="R24" i="14"/>
  <c r="T19" i="17" s="1"/>
  <c r="U19" i="17" s="1"/>
  <c r="Y19" i="17" s="1"/>
  <c r="R25" i="14"/>
  <c r="T23" i="17" s="1"/>
  <c r="U23" i="17" s="1"/>
  <c r="Y23" i="17" s="1"/>
  <c r="Y17" i="17" l="1"/>
  <c r="U17" i="17"/>
  <c r="T17" i="17"/>
  <c r="R28" i="14"/>
  <c r="S25" i="14"/>
  <c r="U25" i="14"/>
  <c r="S24" i="14"/>
  <c r="U24" i="14"/>
  <c r="T57" i="4"/>
  <c r="U57" i="4"/>
  <c r="D60" i="4"/>
  <c r="S28" i="14" l="1"/>
  <c r="U28" i="14"/>
  <c r="S8" i="12"/>
  <c r="T48" i="12"/>
  <c r="S48" i="12"/>
  <c r="S47" i="12" s="1"/>
  <c r="R48" i="12"/>
  <c r="R47" i="12" s="1"/>
  <c r="N48" i="12"/>
  <c r="Q48" i="12" s="1"/>
  <c r="Q47" i="12" s="1"/>
  <c r="E48" i="12"/>
  <c r="G48" i="12" s="1"/>
  <c r="G47" i="12" s="1"/>
  <c r="AB47" i="12"/>
  <c r="AA47" i="12"/>
  <c r="X47" i="12"/>
  <c r="W47" i="12"/>
  <c r="V47" i="12"/>
  <c r="P47" i="12"/>
  <c r="O47" i="12"/>
  <c r="M47" i="12"/>
  <c r="L47" i="12"/>
  <c r="K47" i="12"/>
  <c r="J47" i="12"/>
  <c r="I47" i="12"/>
  <c r="H47" i="12"/>
  <c r="F47" i="12"/>
  <c r="D47" i="12"/>
  <c r="C47" i="12"/>
  <c r="T46" i="12"/>
  <c r="R46" i="12"/>
  <c r="P46" i="12"/>
  <c r="N46" i="12"/>
  <c r="G46" i="12"/>
  <c r="D46" i="12"/>
  <c r="S46" i="12" s="1"/>
  <c r="T45" i="12"/>
  <c r="R45" i="12"/>
  <c r="N45" i="12"/>
  <c r="G45" i="12"/>
  <c r="D45" i="12"/>
  <c r="S45" i="12" s="1"/>
  <c r="T44" i="12"/>
  <c r="R44" i="12"/>
  <c r="P44" i="12"/>
  <c r="N44" i="12"/>
  <c r="G44" i="12"/>
  <c r="D44" i="12"/>
  <c r="S44" i="12" s="1"/>
  <c r="T43" i="12"/>
  <c r="R43" i="12"/>
  <c r="N43" i="12"/>
  <c r="Q43" i="12" s="1"/>
  <c r="G43" i="12"/>
  <c r="D43" i="12"/>
  <c r="S43" i="12" s="1"/>
  <c r="T42" i="12"/>
  <c r="R42" i="12"/>
  <c r="J42" i="12"/>
  <c r="N42" i="12" s="1"/>
  <c r="G42" i="12"/>
  <c r="D42" i="12"/>
  <c r="S42" i="12" s="1"/>
  <c r="T41" i="12"/>
  <c r="R41" i="12"/>
  <c r="N41" i="12"/>
  <c r="Q41" i="12" s="1"/>
  <c r="E41" i="12"/>
  <c r="D41" i="12" s="1"/>
  <c r="S41" i="12" s="1"/>
  <c r="S40" i="12"/>
  <c r="U40" i="12" s="1"/>
  <c r="R40" i="12"/>
  <c r="N40" i="12"/>
  <c r="T39" i="12"/>
  <c r="R39" i="12"/>
  <c r="P39" i="12"/>
  <c r="N39" i="12"/>
  <c r="G39" i="12"/>
  <c r="D39" i="12"/>
  <c r="AB38" i="12"/>
  <c r="AA38" i="12"/>
  <c r="X38" i="12"/>
  <c r="W38" i="12"/>
  <c r="V38" i="12"/>
  <c r="O38" i="12"/>
  <c r="M38" i="12"/>
  <c r="L38" i="12"/>
  <c r="K38" i="12"/>
  <c r="I38" i="12"/>
  <c r="H38" i="12"/>
  <c r="F38" i="12"/>
  <c r="C38" i="12"/>
  <c r="T37" i="12"/>
  <c r="S37" i="12"/>
  <c r="R37" i="12"/>
  <c r="N37" i="12"/>
  <c r="Q37" i="12" s="1"/>
  <c r="E37" i="12"/>
  <c r="G37" i="12" s="1"/>
  <c r="T36" i="12"/>
  <c r="S36" i="12"/>
  <c r="R36" i="12"/>
  <c r="P36" i="12"/>
  <c r="N36" i="12"/>
  <c r="E36" i="12"/>
  <c r="G36" i="12" s="1"/>
  <c r="T35" i="12"/>
  <c r="R35" i="12"/>
  <c r="N35" i="12"/>
  <c r="G35" i="12"/>
  <c r="D35" i="12"/>
  <c r="S35" i="12" s="1"/>
  <c r="T34" i="12"/>
  <c r="S34" i="12"/>
  <c r="R34" i="12"/>
  <c r="N34" i="12"/>
  <c r="Q34" i="12" s="1"/>
  <c r="E34" i="12"/>
  <c r="G34" i="12" s="1"/>
  <c r="T33" i="12"/>
  <c r="S33" i="12"/>
  <c r="R33" i="12"/>
  <c r="N33" i="12"/>
  <c r="Q33" i="12" s="1"/>
  <c r="E33" i="12"/>
  <c r="G33" i="12" s="1"/>
  <c r="T32" i="12"/>
  <c r="S32" i="12"/>
  <c r="N32" i="12"/>
  <c r="E32" i="12"/>
  <c r="G32" i="12" s="1"/>
  <c r="T31" i="12"/>
  <c r="R31" i="12"/>
  <c r="N31" i="12"/>
  <c r="Q31" i="12" s="1"/>
  <c r="G31" i="12"/>
  <c r="D31" i="12"/>
  <c r="T30" i="12"/>
  <c r="S30" i="12"/>
  <c r="N30" i="12"/>
  <c r="Q30" i="12" s="1"/>
  <c r="E30" i="12"/>
  <c r="G30" i="12" s="1"/>
  <c r="T29" i="12"/>
  <c r="S29" i="12"/>
  <c r="R29" i="12"/>
  <c r="P29" i="12"/>
  <c r="O29" i="12"/>
  <c r="O20" i="12" s="1"/>
  <c r="N29" i="12"/>
  <c r="E29" i="12"/>
  <c r="G29" i="12" s="1"/>
  <c r="T28" i="12"/>
  <c r="S28" i="12"/>
  <c r="R28" i="12"/>
  <c r="N28" i="12"/>
  <c r="E28" i="12"/>
  <c r="G28" i="12" s="1"/>
  <c r="T27" i="12"/>
  <c r="S27" i="12"/>
  <c r="R27" i="12"/>
  <c r="N27" i="12"/>
  <c r="E27" i="12"/>
  <c r="G27" i="12" s="1"/>
  <c r="T26" i="12"/>
  <c r="S26" i="12"/>
  <c r="R26" i="12"/>
  <c r="N26" i="12"/>
  <c r="Q26" i="12" s="1"/>
  <c r="E26" i="12"/>
  <c r="G26" i="12" s="1"/>
  <c r="T25" i="12"/>
  <c r="S25" i="12"/>
  <c r="R25" i="12"/>
  <c r="N25" i="12"/>
  <c r="Q25" i="12" s="1"/>
  <c r="E25" i="12"/>
  <c r="G25" i="12" s="1"/>
  <c r="T24" i="12"/>
  <c r="S24" i="12"/>
  <c r="R24" i="12"/>
  <c r="P24" i="12"/>
  <c r="N24" i="12"/>
  <c r="E24" i="12"/>
  <c r="G24" i="12" s="1"/>
  <c r="T23" i="12"/>
  <c r="S23" i="12"/>
  <c r="R23" i="12"/>
  <c r="N23" i="12"/>
  <c r="Q23" i="12" s="1"/>
  <c r="E23" i="12"/>
  <c r="G23" i="12" s="1"/>
  <c r="T22" i="12"/>
  <c r="S22" i="12"/>
  <c r="N22" i="12"/>
  <c r="E22" i="12"/>
  <c r="G22" i="12" s="1"/>
  <c r="T21" i="12"/>
  <c r="S21" i="12"/>
  <c r="R21" i="12"/>
  <c r="J21" i="12"/>
  <c r="N21" i="12" s="1"/>
  <c r="Q21" i="12" s="1"/>
  <c r="E21" i="12"/>
  <c r="AB20" i="12"/>
  <c r="AA20" i="12"/>
  <c r="X20" i="12"/>
  <c r="W20" i="12"/>
  <c r="V20" i="12"/>
  <c r="M20" i="12"/>
  <c r="L20" i="12"/>
  <c r="K20" i="12"/>
  <c r="I20" i="12"/>
  <c r="H20" i="12"/>
  <c r="F20" i="12"/>
  <c r="C20" i="12"/>
  <c r="S19" i="12"/>
  <c r="R19" i="12"/>
  <c r="N19" i="12"/>
  <c r="E19" i="12"/>
  <c r="G19" i="12" s="1"/>
  <c r="R18" i="12"/>
  <c r="P18" i="12"/>
  <c r="N18" i="12"/>
  <c r="G18" i="12"/>
  <c r="D18" i="12"/>
  <c r="S17" i="12"/>
  <c r="R17" i="12"/>
  <c r="P17" i="12"/>
  <c r="N17" i="12"/>
  <c r="E17" i="12"/>
  <c r="G17" i="12" s="1"/>
  <c r="AA16" i="12"/>
  <c r="S16" i="12"/>
  <c r="R16" i="12"/>
  <c r="P16" i="12"/>
  <c r="N16" i="12"/>
  <c r="E16" i="12"/>
  <c r="G16" i="12" s="1"/>
  <c r="S15" i="12"/>
  <c r="R15" i="12"/>
  <c r="N15" i="12"/>
  <c r="E15" i="12"/>
  <c r="G15" i="12" s="1"/>
  <c r="AA14" i="12"/>
  <c r="X14" i="12"/>
  <c r="S14" i="12"/>
  <c r="R14" i="12"/>
  <c r="N14" i="12"/>
  <c r="E14" i="12"/>
  <c r="G14" i="12" s="1"/>
  <c r="S13" i="12"/>
  <c r="R13" i="12"/>
  <c r="N13" i="12"/>
  <c r="E13" i="12"/>
  <c r="G13" i="12" s="1"/>
  <c r="X12" i="12"/>
  <c r="R12" i="12"/>
  <c r="N12" i="12"/>
  <c r="E12" i="12"/>
  <c r="G12" i="12" s="1"/>
  <c r="S11" i="12"/>
  <c r="U11" i="12" s="1"/>
  <c r="R11" i="12"/>
  <c r="O11" i="12"/>
  <c r="N11" i="12"/>
  <c r="E11" i="12"/>
  <c r="G11" i="12" s="1"/>
  <c r="S10" i="12"/>
  <c r="U10" i="12" s="1"/>
  <c r="R10" i="12"/>
  <c r="O10" i="12"/>
  <c r="N10" i="12"/>
  <c r="E10" i="12"/>
  <c r="G10" i="12" s="1"/>
  <c r="X9" i="12"/>
  <c r="S9" i="12"/>
  <c r="R9" i="12"/>
  <c r="N9" i="12"/>
  <c r="E9" i="12"/>
  <c r="G9" i="12" s="1"/>
  <c r="R8" i="12"/>
  <c r="N8" i="12"/>
  <c r="E8" i="12"/>
  <c r="AB7" i="12"/>
  <c r="W7" i="12"/>
  <c r="V7" i="12"/>
  <c r="M7" i="12"/>
  <c r="L7" i="12"/>
  <c r="K7" i="12"/>
  <c r="J7" i="12"/>
  <c r="I7" i="12"/>
  <c r="H7" i="12"/>
  <c r="F7" i="12"/>
  <c r="C7" i="12"/>
  <c r="S6" i="12"/>
  <c r="R6" i="12"/>
  <c r="R5" i="12" s="1"/>
  <c r="N6" i="12"/>
  <c r="E6" i="12"/>
  <c r="G6" i="12" s="1"/>
  <c r="G5" i="12" s="1"/>
  <c r="AB5" i="12"/>
  <c r="AA5" i="12"/>
  <c r="X5" i="12"/>
  <c r="W5" i="12"/>
  <c r="V5" i="12"/>
  <c r="T5" i="12"/>
  <c r="P5" i="12"/>
  <c r="O5" i="12"/>
  <c r="M5" i="12"/>
  <c r="L5" i="12"/>
  <c r="K5" i="12"/>
  <c r="J5" i="12"/>
  <c r="I5" i="12"/>
  <c r="H5" i="12"/>
  <c r="F5" i="12"/>
  <c r="D5" i="12"/>
  <c r="C5" i="12"/>
  <c r="E5" i="12" l="1"/>
  <c r="AA7" i="12"/>
  <c r="AA4" i="12" s="1"/>
  <c r="U30" i="12"/>
  <c r="Y30" i="12" s="1"/>
  <c r="Z30" i="12" s="1"/>
  <c r="AC30" i="12" s="1"/>
  <c r="Q11" i="12"/>
  <c r="J20" i="12"/>
  <c r="E47" i="12"/>
  <c r="Y10" i="12"/>
  <c r="O7" i="12"/>
  <c r="O4" i="12" s="1"/>
  <c r="U25" i="12"/>
  <c r="Y25" i="12" s="1"/>
  <c r="Z25" i="12" s="1"/>
  <c r="AC25" i="12" s="1"/>
  <c r="Q39" i="12"/>
  <c r="Y11" i="12"/>
  <c r="U42" i="12"/>
  <c r="Y42" i="12" s="1"/>
  <c r="K4" i="12"/>
  <c r="I4" i="12"/>
  <c r="F4" i="12"/>
  <c r="Q13" i="12"/>
  <c r="Q18" i="12"/>
  <c r="W4" i="12"/>
  <c r="U21" i="12"/>
  <c r="Y21" i="12" s="1"/>
  <c r="Z21" i="12" s="1"/>
  <c r="N20" i="12"/>
  <c r="U24" i="12"/>
  <c r="Y24" i="12" s="1"/>
  <c r="U32" i="12"/>
  <c r="Y32" i="12" s="1"/>
  <c r="M4" i="12"/>
  <c r="U37" i="12"/>
  <c r="Y37" i="12" s="1"/>
  <c r="Z37" i="12" s="1"/>
  <c r="AC37" i="12" s="1"/>
  <c r="U44" i="12"/>
  <c r="Y44" i="12" s="1"/>
  <c r="U33" i="12"/>
  <c r="Y33" i="12" s="1"/>
  <c r="Z33" i="12" s="1"/>
  <c r="AC33" i="12" s="1"/>
  <c r="U48" i="12"/>
  <c r="Y48" i="12" s="1"/>
  <c r="T47" i="12"/>
  <c r="U23" i="12"/>
  <c r="Y23" i="12" s="1"/>
  <c r="Z23" i="12" s="1"/>
  <c r="AC23" i="12" s="1"/>
  <c r="U41" i="12"/>
  <c r="Y41" i="12" s="1"/>
  <c r="Z41" i="12" s="1"/>
  <c r="AC41" i="12" s="1"/>
  <c r="N47" i="12"/>
  <c r="U27" i="12"/>
  <c r="Y27" i="12" s="1"/>
  <c r="D20" i="12"/>
  <c r="AB4" i="12"/>
  <c r="Q17" i="12"/>
  <c r="U26" i="12"/>
  <c r="Y26" i="12" s="1"/>
  <c r="Z26" i="12" s="1"/>
  <c r="AC26" i="12" s="1"/>
  <c r="U28" i="12"/>
  <c r="P38" i="12"/>
  <c r="V4" i="12"/>
  <c r="H4" i="12"/>
  <c r="L4" i="12"/>
  <c r="N7" i="12"/>
  <c r="X7" i="12"/>
  <c r="X4" i="12" s="1"/>
  <c r="Q10" i="12"/>
  <c r="C4" i="12"/>
  <c r="J38" i="12"/>
  <c r="R38" i="12"/>
  <c r="Q12" i="12"/>
  <c r="R7" i="12"/>
  <c r="R20" i="12"/>
  <c r="U45" i="12"/>
  <c r="Y45" i="12" s="1"/>
  <c r="T38" i="12"/>
  <c r="Y40" i="12"/>
  <c r="Q40" i="12"/>
  <c r="N38" i="12"/>
  <c r="U6" i="12"/>
  <c r="U5" i="12" s="1"/>
  <c r="S5" i="12"/>
  <c r="Q19" i="12"/>
  <c r="E20" i="12"/>
  <c r="G21" i="12"/>
  <c r="G20" i="12" s="1"/>
  <c r="Q42" i="12"/>
  <c r="Q44" i="12"/>
  <c r="U22" i="12"/>
  <c r="T20" i="12"/>
  <c r="S31" i="12"/>
  <c r="S20" i="12" s="1"/>
  <c r="U34" i="12"/>
  <c r="Y34" i="12" s="1"/>
  <c r="Z34" i="12" s="1"/>
  <c r="AC34" i="12" s="1"/>
  <c r="U35" i="12"/>
  <c r="Y35" i="12" s="1"/>
  <c r="Q36" i="12"/>
  <c r="U36" i="12"/>
  <c r="Y36" i="12" s="1"/>
  <c r="Q45" i="12"/>
  <c r="Q46" i="12"/>
  <c r="U46" i="12"/>
  <c r="Y46" i="12" s="1"/>
  <c r="N5" i="12"/>
  <c r="Q6" i="12"/>
  <c r="Q5" i="12" s="1"/>
  <c r="E7" i="12"/>
  <c r="Q14" i="12"/>
  <c r="P7" i="12"/>
  <c r="S18" i="12"/>
  <c r="D7" i="12"/>
  <c r="P20" i="12"/>
  <c r="Y28" i="12"/>
  <c r="Q35" i="12"/>
  <c r="G8" i="12"/>
  <c r="G7" i="12" s="1"/>
  <c r="Q9" i="12"/>
  <c r="Q15" i="12"/>
  <c r="Q16" i="12"/>
  <c r="Q24" i="12"/>
  <c r="Q27" i="12"/>
  <c r="Q28" i="12"/>
  <c r="Q29" i="12"/>
  <c r="U29" i="12"/>
  <c r="Y29" i="12" s="1"/>
  <c r="Q32" i="12"/>
  <c r="S39" i="12"/>
  <c r="D38" i="12"/>
  <c r="E38" i="12"/>
  <c r="G41" i="12"/>
  <c r="G38" i="12" s="1"/>
  <c r="U43" i="12"/>
  <c r="Y43" i="12" s="1"/>
  <c r="Z43" i="12" s="1"/>
  <c r="AC43" i="12" s="1"/>
  <c r="Q8" i="12"/>
  <c r="Q22" i="12"/>
  <c r="J4" i="12" l="1"/>
  <c r="Z11" i="12"/>
  <c r="AC11" i="12" s="1"/>
  <c r="Z24" i="12"/>
  <c r="AC24" i="12" s="1"/>
  <c r="Y6" i="12"/>
  <c r="Y5" i="12" s="1"/>
  <c r="U47" i="12"/>
  <c r="Z42" i="12"/>
  <c r="AC42" i="12" s="1"/>
  <c r="Z10" i="12"/>
  <c r="AC10" i="12" s="1"/>
  <c r="Z27" i="12"/>
  <c r="AC27" i="12" s="1"/>
  <c r="Z36" i="12"/>
  <c r="AC36" i="12" s="1"/>
  <c r="P4" i="12"/>
  <c r="D4" i="12"/>
  <c r="Z40" i="12"/>
  <c r="AC40" i="12" s="1"/>
  <c r="Q38" i="12"/>
  <c r="U31" i="12"/>
  <c r="Y31" i="12" s="1"/>
  <c r="Z31" i="12" s="1"/>
  <c r="AC31" i="12" s="1"/>
  <c r="Z32" i="12"/>
  <c r="AC32" i="12" s="1"/>
  <c r="N4" i="12"/>
  <c r="Q20" i="12"/>
  <c r="Z29" i="12"/>
  <c r="AC29" i="12" s="1"/>
  <c r="E4" i="12"/>
  <c r="R4" i="12"/>
  <c r="G4" i="12"/>
  <c r="Z28" i="12"/>
  <c r="AC28" i="12" s="1"/>
  <c r="Z45" i="12"/>
  <c r="AC45" i="12" s="1"/>
  <c r="Z44" i="12"/>
  <c r="AC44" i="12" s="1"/>
  <c r="Z48" i="12"/>
  <c r="Y47" i="12"/>
  <c r="Q7" i="12"/>
  <c r="Y22" i="12"/>
  <c r="S7" i="12"/>
  <c r="Z35" i="12"/>
  <c r="AC35" i="12" s="1"/>
  <c r="AC21" i="12"/>
  <c r="U39" i="12"/>
  <c r="S38" i="12"/>
  <c r="Z46" i="12"/>
  <c r="AC46" i="12" s="1"/>
  <c r="Z6" i="12" l="1"/>
  <c r="AC6" i="12" s="1"/>
  <c r="AC5" i="12" s="1"/>
  <c r="U20" i="12"/>
  <c r="Q4" i="12"/>
  <c r="S4" i="12"/>
  <c r="Z47" i="12"/>
  <c r="AC48" i="12"/>
  <c r="AC47" i="12" s="1"/>
  <c r="U38" i="12"/>
  <c r="Y39" i="12"/>
  <c r="Z22" i="12"/>
  <c r="Y20" i="12"/>
  <c r="Z5" i="12" l="1"/>
  <c r="Y38" i="12"/>
  <c r="Z39" i="12"/>
  <c r="AC22" i="12"/>
  <c r="AC20" i="12" s="1"/>
  <c r="Z20" i="12"/>
  <c r="Z38" i="12" l="1"/>
  <c r="AC39" i="12"/>
  <c r="AC38" i="12" s="1"/>
  <c r="M58" i="4" l="1"/>
  <c r="N58" i="4"/>
  <c r="K59" i="4"/>
  <c r="I7" i="13" l="1"/>
  <c r="G23" i="11"/>
  <c r="F53" i="4"/>
  <c r="T56" i="4" l="1"/>
  <c r="L57" i="4"/>
  <c r="N57" i="4"/>
  <c r="H59" i="4"/>
  <c r="F7" i="13" s="1"/>
  <c r="M57" i="4"/>
  <c r="AC58" i="4"/>
  <c r="H9" i="11" s="1"/>
  <c r="H7" i="13" l="1"/>
  <c r="O57" i="4"/>
  <c r="P57" i="4" s="1"/>
  <c r="I57" i="4"/>
  <c r="F55" i="4"/>
  <c r="F52" i="4"/>
  <c r="F59" i="4" l="1"/>
  <c r="F60" i="4" s="1"/>
  <c r="Q57" i="4"/>
  <c r="Z57" i="4"/>
  <c r="K7" i="13"/>
  <c r="J7" i="13"/>
  <c r="G7" i="13"/>
  <c r="L7" i="13"/>
  <c r="V57" i="4" l="1"/>
  <c r="W57" i="4" s="1"/>
  <c r="AB57" i="4" s="1"/>
  <c r="M7" i="13"/>
  <c r="O7" i="13" s="1"/>
  <c r="P7" i="13" s="1"/>
  <c r="H8" i="11"/>
  <c r="AC57" i="4" l="1"/>
  <c r="Q7" i="13"/>
  <c r="S7" i="13"/>
  <c r="U52" i="4"/>
  <c r="V52" i="4" s="1"/>
  <c r="U53" i="4"/>
  <c r="U54" i="4"/>
  <c r="U56" i="4"/>
  <c r="AE57" i="4" l="1"/>
  <c r="B81" i="11"/>
  <c r="E22" i="11"/>
  <c r="E20" i="11"/>
  <c r="E19" i="11"/>
  <c r="E18" i="11"/>
  <c r="E14" i="11"/>
  <c r="E15" i="11"/>
  <c r="E16" i="11"/>
  <c r="E17" i="11"/>
  <c r="E13" i="11"/>
  <c r="E12" i="11"/>
  <c r="E7" i="11"/>
  <c r="E8" i="11"/>
  <c r="E9" i="11"/>
  <c r="E10" i="11"/>
  <c r="E11" i="11"/>
  <c r="E5" i="11"/>
  <c r="E6" i="11"/>
  <c r="E4" i="11"/>
  <c r="B60" i="11"/>
  <c r="D19" i="11"/>
  <c r="D20" i="11"/>
  <c r="D22" i="11"/>
  <c r="D15" i="11"/>
  <c r="D16" i="11"/>
  <c r="D17" i="11"/>
  <c r="D5" i="11"/>
  <c r="D6" i="11"/>
  <c r="D8" i="11"/>
  <c r="D9" i="11"/>
  <c r="D10" i="11"/>
  <c r="D11" i="11"/>
  <c r="D13" i="11"/>
  <c r="D14" i="11"/>
  <c r="D4" i="11"/>
  <c r="C22" i="11"/>
  <c r="C20" i="11"/>
  <c r="C19" i="11"/>
  <c r="C17" i="11"/>
  <c r="C16" i="11"/>
  <c r="B41" i="11"/>
  <c r="B23" i="11"/>
  <c r="C6" i="11"/>
  <c r="C5" i="11"/>
  <c r="C8" i="11"/>
  <c r="C9" i="11"/>
  <c r="C10" i="11"/>
  <c r="C11" i="11"/>
  <c r="C13" i="11"/>
  <c r="C14" i="11"/>
  <c r="C4" i="11"/>
  <c r="E23" i="11" l="1"/>
  <c r="D23" i="11"/>
  <c r="C23" i="11"/>
  <c r="M53" i="4" l="1"/>
  <c r="G59" i="4" l="1"/>
  <c r="N52" i="4"/>
  <c r="N53" i="4"/>
  <c r="P22" i="4" s="1"/>
  <c r="Q22" i="4" s="1"/>
  <c r="N54" i="4"/>
  <c r="N55" i="4"/>
  <c r="N56" i="4"/>
  <c r="L52" i="4"/>
  <c r="L53" i="4"/>
  <c r="L55" i="4"/>
  <c r="L56" i="4"/>
  <c r="T22" i="4" l="1"/>
  <c r="R22" i="4"/>
  <c r="H21" i="4"/>
  <c r="H20" i="4"/>
  <c r="N59" i="4"/>
  <c r="I55" i="4"/>
  <c r="M55" i="4"/>
  <c r="I52" i="4"/>
  <c r="M52" i="4"/>
  <c r="I56" i="4"/>
  <c r="M56" i="4"/>
  <c r="I53" i="4"/>
  <c r="I54" i="4"/>
  <c r="M54" i="4"/>
  <c r="L59" i="4"/>
  <c r="I59" i="4"/>
  <c r="G20" i="4" l="1"/>
  <c r="G21" i="4"/>
  <c r="H23" i="4"/>
  <c r="T12" i="12"/>
  <c r="U12" i="12" s="1"/>
  <c r="Y12" i="12" s="1"/>
  <c r="Z12" i="12" s="1"/>
  <c r="AC12" i="12" s="1"/>
  <c r="M59" i="4"/>
  <c r="H12" i="11"/>
  <c r="T53" i="4"/>
  <c r="T55" i="4"/>
  <c r="O52" i="4"/>
  <c r="P52" i="4" s="1"/>
  <c r="O53" i="4"/>
  <c r="P53" i="4" s="1"/>
  <c r="O54" i="4"/>
  <c r="P54" i="4" s="1"/>
  <c r="O55" i="4"/>
  <c r="P55" i="4" s="1"/>
  <c r="O56" i="4"/>
  <c r="P56" i="4" s="1"/>
  <c r="G23" i="4" l="1"/>
  <c r="I20" i="4"/>
  <c r="P20" i="4" s="1"/>
  <c r="Q56" i="4"/>
  <c r="Q52" i="4"/>
  <c r="Q55" i="4"/>
  <c r="Q54" i="4"/>
  <c r="Y54" i="4"/>
  <c r="Q53" i="4"/>
  <c r="I21" i="4"/>
  <c r="H21" i="11"/>
  <c r="P21" i="4" l="1"/>
  <c r="Q21" i="4" s="1"/>
  <c r="I23" i="4"/>
  <c r="V55" i="4"/>
  <c r="W55" i="4" s="1"/>
  <c r="Y55" i="4"/>
  <c r="Z55" i="4" s="1"/>
  <c r="Y56" i="4"/>
  <c r="Z56" i="4" s="1"/>
  <c r="Y52" i="4"/>
  <c r="Z52" i="4" s="1"/>
  <c r="W52" i="4"/>
  <c r="V56" i="4"/>
  <c r="W56" i="4" s="1"/>
  <c r="V54" i="4"/>
  <c r="W54" i="4" s="1"/>
  <c r="Z54" i="4"/>
  <c r="V53" i="4"/>
  <c r="W53" i="4" s="1"/>
  <c r="Z53" i="4"/>
  <c r="T19" i="12"/>
  <c r="U19" i="12" s="1"/>
  <c r="Y19" i="12" s="1"/>
  <c r="Z19" i="12" s="1"/>
  <c r="AC19" i="12" s="1"/>
  <c r="T16" i="12"/>
  <c r="U16" i="12" s="1"/>
  <c r="Y16" i="12" s="1"/>
  <c r="Z16" i="12" s="1"/>
  <c r="AC16" i="12" s="1"/>
  <c r="Q20" i="4"/>
  <c r="T14" i="12"/>
  <c r="U14" i="12" s="1"/>
  <c r="Y14" i="12" s="1"/>
  <c r="Z14" i="12" s="1"/>
  <c r="AC14" i="12" s="1"/>
  <c r="AB56" i="4" l="1"/>
  <c r="T10" i="17" s="1"/>
  <c r="U10" i="17" s="1"/>
  <c r="Y10" i="17" s="1"/>
  <c r="AB54" i="4"/>
  <c r="AB52" i="4"/>
  <c r="T12" i="17" s="1"/>
  <c r="U12" i="17" s="1"/>
  <c r="Y12" i="17" s="1"/>
  <c r="AB55" i="4"/>
  <c r="T13" i="17" s="1"/>
  <c r="U13" i="17" s="1"/>
  <c r="Y13" i="17" s="1"/>
  <c r="AB53" i="4"/>
  <c r="T15" i="17" s="1"/>
  <c r="U15" i="17" s="1"/>
  <c r="Y15" i="17" s="1"/>
  <c r="T18" i="12"/>
  <c r="U18" i="12" s="1"/>
  <c r="Y18" i="12" s="1"/>
  <c r="Z18" i="12" s="1"/>
  <c r="AC18" i="12" s="1"/>
  <c r="T21" i="4"/>
  <c r="T20" i="4"/>
  <c r="Q23" i="4"/>
  <c r="H17" i="11"/>
  <c r="U42" i="4"/>
  <c r="W42" i="4" s="1"/>
  <c r="U41" i="4"/>
  <c r="K38" i="4"/>
  <c r="J38" i="4"/>
  <c r="K31" i="4"/>
  <c r="J31" i="4"/>
  <c r="K40" i="4"/>
  <c r="J40" i="4"/>
  <c r="K39" i="4"/>
  <c r="J39" i="4"/>
  <c r="K37" i="4"/>
  <c r="J37" i="4"/>
  <c r="K30" i="4"/>
  <c r="J30" i="4"/>
  <c r="K34" i="4"/>
  <c r="J34" i="4"/>
  <c r="K33" i="4"/>
  <c r="J33" i="4"/>
  <c r="K35" i="4"/>
  <c r="J35" i="4"/>
  <c r="K32" i="4"/>
  <c r="J32" i="4"/>
  <c r="U43" i="4"/>
  <c r="W43" i="4" s="1"/>
  <c r="R31" i="4"/>
  <c r="R32" i="4"/>
  <c r="R33" i="4"/>
  <c r="R34" i="4"/>
  <c r="R35" i="4"/>
  <c r="R36" i="4"/>
  <c r="R37" i="4"/>
  <c r="R38" i="4"/>
  <c r="R39" i="4"/>
  <c r="R4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F35" i="4"/>
  <c r="T8" i="17" l="1"/>
  <c r="U8" i="17" s="1"/>
  <c r="Y8" i="17" s="1"/>
  <c r="AE52" i="4"/>
  <c r="AE56" i="4"/>
  <c r="AE54" i="4"/>
  <c r="AE53" i="4"/>
  <c r="AC55" i="4"/>
  <c r="H13" i="11" s="1"/>
  <c r="AE55" i="4"/>
  <c r="T13" i="12"/>
  <c r="U13" i="12" s="1"/>
  <c r="Y13" i="12" s="1"/>
  <c r="Z13" i="12" s="1"/>
  <c r="AC13" i="12" s="1"/>
  <c r="AC52" i="4"/>
  <c r="T15" i="12"/>
  <c r="U15" i="12" s="1"/>
  <c r="Y15" i="12" s="1"/>
  <c r="Z15" i="12" s="1"/>
  <c r="AC15" i="12" s="1"/>
  <c r="AC56" i="4"/>
  <c r="H7" i="11" s="1"/>
  <c r="T8" i="12"/>
  <c r="U8" i="12" s="1"/>
  <c r="Y8" i="12" s="1"/>
  <c r="T23" i="4"/>
  <c r="AC54" i="4"/>
  <c r="T9" i="12"/>
  <c r="U9" i="12" s="1"/>
  <c r="Y9" i="12" s="1"/>
  <c r="Z9" i="12" s="1"/>
  <c r="AC9" i="12" s="1"/>
  <c r="AB59" i="4"/>
  <c r="AE59" i="4" s="1"/>
  <c r="T17" i="12"/>
  <c r="U17" i="12" s="1"/>
  <c r="Y17" i="12" s="1"/>
  <c r="Z17" i="12" s="1"/>
  <c r="AC17" i="12" s="1"/>
  <c r="AC53" i="4"/>
  <c r="H16" i="11"/>
  <c r="H18" i="11"/>
  <c r="H6" i="11"/>
  <c r="H23" i="11" s="1"/>
  <c r="L33" i="4"/>
  <c r="M33" i="4" s="1"/>
  <c r="L39" i="4"/>
  <c r="M39" i="4" s="1"/>
  <c r="L37" i="4"/>
  <c r="M37" i="4" s="1"/>
  <c r="L40" i="4"/>
  <c r="M40" i="4" s="1"/>
  <c r="W41" i="4"/>
  <c r="L38" i="4"/>
  <c r="M38" i="4" s="1"/>
  <c r="L34" i="4"/>
  <c r="M34" i="4" s="1"/>
  <c r="L35" i="4"/>
  <c r="M35" i="4" s="1"/>
  <c r="L32" i="4"/>
  <c r="M32" i="4" s="1"/>
  <c r="D44" i="4"/>
  <c r="T7" i="17" l="1"/>
  <c r="T4" i="17" s="1"/>
  <c r="Y7" i="17"/>
  <c r="Y4" i="17" s="1"/>
  <c r="U7" i="17"/>
  <c r="U4" i="17" s="1"/>
  <c r="AC59" i="4"/>
  <c r="T7" i="12"/>
  <c r="T4" i="12" s="1"/>
  <c r="U7" i="12"/>
  <c r="U4" i="12" s="1"/>
  <c r="Z8" i="12"/>
  <c r="Y7" i="12"/>
  <c r="Y4" i="12" s="1"/>
  <c r="F23" i="11"/>
  <c r="H35" i="4"/>
  <c r="I35" i="4" s="1"/>
  <c r="Z7" i="12" l="1"/>
  <c r="Z4" i="12" s="1"/>
  <c r="AC8" i="12"/>
  <c r="AC7" i="12" s="1"/>
  <c r="AC4" i="12" s="1"/>
  <c r="S35" i="4"/>
  <c r="U35" i="4" s="1"/>
  <c r="W35" i="4" s="1"/>
  <c r="AD30" i="4"/>
  <c r="F37" i="4" l="1"/>
  <c r="F30" i="4"/>
  <c r="S19" i="5" l="1"/>
  <c r="F44" i="4" l="1"/>
  <c r="R30" i="4"/>
  <c r="Q44" i="4"/>
  <c r="R44" i="4" l="1"/>
  <c r="D12" i="7"/>
  <c r="N9" i="7"/>
  <c r="K9" i="7"/>
  <c r="H9" i="7"/>
  <c r="K23" i="6"/>
  <c r="H23" i="6"/>
  <c r="L22" i="6"/>
  <c r="M22" i="6" s="1"/>
  <c r="K24" i="6"/>
  <c r="H24" i="6"/>
  <c r="F29" i="5"/>
  <c r="F31" i="5" s="1"/>
  <c r="L23" i="6" l="1"/>
  <c r="L24" i="6"/>
  <c r="O9" i="7"/>
  <c r="P9" i="7" s="1"/>
  <c r="AD33" i="4"/>
  <c r="H33" i="4"/>
  <c r="I33" i="4" s="1"/>
  <c r="S33" i="4" s="1"/>
  <c r="U33" i="4" l="1"/>
  <c r="M23" i="6"/>
  <c r="M24" i="6"/>
  <c r="W33" i="4" l="1"/>
  <c r="AD36" i="4"/>
  <c r="V44" i="4"/>
  <c r="H21" i="6"/>
  <c r="K21" i="6"/>
  <c r="L21" i="6" l="1"/>
  <c r="AD31" i="4"/>
  <c r="AD37" i="4"/>
  <c r="AD38" i="4"/>
  <c r="AD32" i="4"/>
  <c r="AD40" i="4"/>
  <c r="AD34" i="4"/>
  <c r="H40" i="4" l="1"/>
  <c r="I40" i="4" s="1"/>
  <c r="S40" i="4" s="1"/>
  <c r="L30" i="4" l="1"/>
  <c r="M30" i="4" s="1"/>
  <c r="L31" i="4"/>
  <c r="M31" i="4" s="1"/>
  <c r="U40" i="4" l="1"/>
  <c r="W40" i="4" l="1"/>
  <c r="X44" i="4"/>
  <c r="AD39" i="4" l="1"/>
  <c r="D25" i="6"/>
  <c r="H32" i="4" l="1"/>
  <c r="I32" i="4" s="1"/>
  <c r="H38" i="4"/>
  <c r="I38" i="4" s="1"/>
  <c r="S38" i="4" s="1"/>
  <c r="H31" i="4"/>
  <c r="I31" i="4" s="1"/>
  <c r="S31" i="4" s="1"/>
  <c r="H39" i="4"/>
  <c r="I39" i="4" s="1"/>
  <c r="S39" i="4" s="1"/>
  <c r="Y44" i="4"/>
  <c r="S32" i="4" l="1"/>
  <c r="U32" i="4" s="1"/>
  <c r="U39" i="4"/>
  <c r="U38" i="4"/>
  <c r="AB44" i="4"/>
  <c r="U31" i="4" l="1"/>
  <c r="Z44" i="4"/>
  <c r="E22" i="10"/>
  <c r="E23" i="10" s="1"/>
  <c r="W31" i="4" l="1"/>
  <c r="W39" i="4"/>
  <c r="W32" i="4"/>
  <c r="AB8" i="5"/>
  <c r="T19" i="5" s="1"/>
  <c r="V19" i="5" s="1"/>
  <c r="AA44" i="4" l="1"/>
  <c r="X46" i="4" l="1"/>
  <c r="AD44" i="4"/>
  <c r="I18" i="5"/>
  <c r="M21" i="6" l="1"/>
  <c r="P18" i="5"/>
  <c r="M16" i="5"/>
  <c r="J16" i="5"/>
  <c r="G16" i="5"/>
  <c r="K18" i="5" l="1"/>
  <c r="L18" i="5" s="1"/>
  <c r="S18" i="5" l="1"/>
  <c r="T18" i="5" l="1"/>
  <c r="W38" i="4"/>
  <c r="H34" i="4"/>
  <c r="I34" i="4" s="1"/>
  <c r="S34" i="4" s="1"/>
  <c r="H37" i="4"/>
  <c r="I37" i="4" s="1"/>
  <c r="S37" i="4" s="1"/>
  <c r="O30" i="4"/>
  <c r="P30" i="4" s="1"/>
  <c r="V18" i="5" l="1"/>
  <c r="U34" i="4"/>
  <c r="W34" i="4" s="1"/>
  <c r="J28" i="4" l="1"/>
  <c r="N28" i="4"/>
  <c r="G28" i="4"/>
  <c r="H36" i="4"/>
  <c r="H30" i="4"/>
  <c r="O10" i="7"/>
  <c r="P10" i="7" s="1"/>
  <c r="H11" i="7"/>
  <c r="N7" i="7"/>
  <c r="N11" i="7"/>
  <c r="N8" i="7"/>
  <c r="K7" i="7"/>
  <c r="K8" i="7"/>
  <c r="H7" i="7"/>
  <c r="H8" i="7"/>
  <c r="I36" i="4" l="1"/>
  <c r="O11" i="7"/>
  <c r="I30" i="4"/>
  <c r="O8" i="7"/>
  <c r="O7" i="7"/>
  <c r="P7" i="7" s="1"/>
  <c r="U37" i="4"/>
  <c r="N2" i="8"/>
  <c r="M2" i="8"/>
  <c r="C2" i="8"/>
  <c r="O2" i="8" s="1"/>
  <c r="Y3" i="8"/>
  <c r="Y5" i="8" s="1"/>
  <c r="Y1" i="8"/>
  <c r="W4" i="8"/>
  <c r="W3" i="8"/>
  <c r="W1" i="8"/>
  <c r="S36" i="4" l="1"/>
  <c r="U36" i="4" s="1"/>
  <c r="W36" i="4" s="1"/>
  <c r="S30" i="4"/>
  <c r="U30" i="4" s="1"/>
  <c r="O12" i="7"/>
  <c r="W5" i="8"/>
  <c r="U44" i="4" l="1"/>
  <c r="W30" i="4"/>
  <c r="W37" i="4"/>
  <c r="C3" i="8" l="1"/>
  <c r="B3" i="8"/>
  <c r="G10" i="3"/>
  <c r="K10" i="3" l="1"/>
  <c r="O23" i="7" s="1"/>
  <c r="L4" i="8"/>
  <c r="C4" i="8"/>
  <c r="B4" i="8"/>
  <c r="P26" i="7" l="1"/>
  <c r="M10" i="3"/>
  <c r="Z1" i="8"/>
  <c r="X1" i="8"/>
  <c r="V1" i="8"/>
  <c r="U1" i="8"/>
  <c r="V4" i="8"/>
  <c r="U4" i="8"/>
  <c r="K4" i="8"/>
  <c r="I4" i="8"/>
  <c r="J4" i="8"/>
  <c r="H4" i="8"/>
  <c r="G4" i="8"/>
  <c r="N4" i="8" l="1"/>
  <c r="M4" i="8"/>
  <c r="N3" i="8"/>
  <c r="M3" i="8"/>
  <c r="N1" i="8"/>
  <c r="M1" i="8"/>
  <c r="W44" i="4" l="1"/>
  <c r="N5" i="8"/>
  <c r="M5" i="8"/>
  <c r="R3" i="8" l="1"/>
  <c r="R5" i="8" s="1"/>
  <c r="S3" i="8"/>
  <c r="S5" i="8" s="1"/>
  <c r="S1" i="8"/>
  <c r="R1" i="8"/>
  <c r="L3" i="8"/>
  <c r="L5" i="8" s="1"/>
  <c r="L2" i="8"/>
  <c r="L1" i="8"/>
  <c r="K2" i="8"/>
  <c r="J2" i="8"/>
  <c r="I2" i="8"/>
  <c r="H2" i="8"/>
  <c r="Q28" i="5" l="1"/>
  <c r="S28" i="5" s="1"/>
  <c r="T28" i="5" s="1"/>
  <c r="V28" i="5" s="1"/>
  <c r="Q27" i="5" l="1"/>
  <c r="S27" i="5" s="1"/>
  <c r="T27" i="5" s="1"/>
  <c r="V27" i="5" s="1"/>
  <c r="Q1" i="8" l="1"/>
  <c r="P1" i="8"/>
  <c r="K3" i="8" l="1"/>
  <c r="J3" i="8"/>
  <c r="I3" i="8"/>
  <c r="K1" i="8"/>
  <c r="J1" i="8"/>
  <c r="I1" i="8"/>
  <c r="H1" i="8"/>
  <c r="G1" i="8"/>
  <c r="F1" i="8"/>
  <c r="E1" i="8"/>
  <c r="D1" i="8"/>
  <c r="I5" i="8" l="1"/>
  <c r="K5" i="8"/>
  <c r="J5" i="8"/>
  <c r="V3" i="8"/>
  <c r="U3" i="8"/>
  <c r="T3" i="8"/>
  <c r="H18" i="6" l="1"/>
  <c r="I18" i="6" s="1"/>
  <c r="L18" i="6" s="1"/>
  <c r="L25" i="6" s="1"/>
  <c r="M18" i="6" l="1"/>
  <c r="M25" i="6" s="1"/>
  <c r="T4" i="8" l="1"/>
  <c r="H3" i="8"/>
  <c r="H5" i="8" l="1"/>
  <c r="G3" i="8" l="1"/>
  <c r="G2" i="8"/>
  <c r="F2" i="8" l="1"/>
  <c r="G5" i="8" l="1"/>
  <c r="G6" i="8" s="1"/>
  <c r="F3" i="8"/>
  <c r="R21" i="4" l="1"/>
  <c r="B5" i="8"/>
  <c r="F4" i="8"/>
  <c r="F5" i="8" s="1"/>
  <c r="F6" i="8" s="1"/>
  <c r="Z4" i="8"/>
  <c r="X4" i="8"/>
  <c r="U5" i="8"/>
  <c r="Z3" i="8"/>
  <c r="X3" i="8"/>
  <c r="Q2" i="8"/>
  <c r="P2" i="8"/>
  <c r="E2" i="8"/>
  <c r="D2" i="8"/>
  <c r="AA2" i="8" l="1"/>
  <c r="V5" i="8"/>
  <c r="T5" i="8"/>
  <c r="Z5" i="8"/>
  <c r="X5" i="8"/>
  <c r="D12" i="8" l="1"/>
  <c r="P12" i="7" l="1"/>
  <c r="P11" i="7"/>
  <c r="P8" i="7"/>
  <c r="P3" i="8" l="1"/>
  <c r="O3" i="8"/>
  <c r="Q3" i="8"/>
  <c r="D24" i="7"/>
  <c r="Q26" i="5"/>
  <c r="D4" i="8"/>
  <c r="AB61" i="4" l="1"/>
  <c r="T26" i="5"/>
  <c r="V26" i="5" s="1"/>
  <c r="D3" i="8"/>
  <c r="E3" i="8"/>
  <c r="P4" i="8"/>
  <c r="E4" i="8" l="1"/>
  <c r="E5" i="8" s="1"/>
  <c r="E6" i="8" s="1"/>
  <c r="R20" i="4"/>
  <c r="R23" i="4" s="1"/>
  <c r="AC61" i="4" s="1"/>
  <c r="AA3" i="8"/>
  <c r="S29" i="5"/>
  <c r="S31" i="5" s="1"/>
  <c r="Q4" i="8"/>
  <c r="Q5" i="8" s="1"/>
  <c r="Q6" i="8" s="1"/>
  <c r="P5" i="8"/>
  <c r="P6" i="8" s="1"/>
  <c r="O4" i="8"/>
  <c r="O5" i="8" s="1"/>
  <c r="O6" i="8" s="1"/>
  <c r="C5" i="8"/>
  <c r="C6" i="8" s="1"/>
  <c r="D5" i="8"/>
  <c r="W2" i="5"/>
  <c r="O24" i="7" l="1"/>
  <c r="T29" i="5"/>
  <c r="V29" i="5"/>
  <c r="AA4" i="8"/>
  <c r="AA5" i="8"/>
  <c r="D10" i="8"/>
  <c r="D8" i="8"/>
  <c r="F8" i="8"/>
  <c r="D6" i="8"/>
  <c r="D7" i="1"/>
  <c r="C7" i="1"/>
  <c r="W46" i="4" l="1"/>
  <c r="P24" i="7"/>
  <c r="T31" i="5"/>
  <c r="P28" i="7" s="1"/>
  <c r="P25" i="7"/>
  <c r="AA6" i="8"/>
  <c r="F7" i="1"/>
  <c r="E7" i="1"/>
  <c r="O25" i="7" l="1"/>
  <c r="O26" i="7" s="1"/>
  <c r="O28" i="7" l="1"/>
</calcChain>
</file>

<file path=xl/comments1.xml><?xml version="1.0" encoding="utf-8"?>
<comments xmlns="http://schemas.openxmlformats.org/spreadsheetml/2006/main">
  <authors>
    <author>Мифодеева Людмила</author>
  </authors>
  <commentList>
    <comment ref="F33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 адм день</t>
        </r>
      </text>
    </comment>
    <comment ref="F36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комп отпуска при увольнении</t>
        </r>
      </text>
    </comment>
    <comment ref="F39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уволен 15.04.2024
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с 08.04 15 р.д.</t>
        </r>
      </text>
    </comment>
    <comment ref="F42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с 22.04 6 р.д.</t>
        </r>
      </text>
    </comment>
    <comment ref="F43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2 р.д.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1489,70 отпускные за июнь</t>
        </r>
      </text>
    </comment>
  </commentList>
</comments>
</file>

<file path=xl/comments2.xml><?xml version="1.0" encoding="utf-8"?>
<comments xmlns="http://schemas.openxmlformats.org/spreadsheetml/2006/main">
  <authors>
    <author>Мифодеева Людмила</author>
    <author>Автор</author>
  </authors>
  <commentList>
    <comment ref="X9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352 сот связь</t>
        </r>
      </text>
    </comment>
    <comment ref="X12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сот связь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госпошлина, регистрация ГИБДД 1850</t>
        </r>
      </text>
    </comment>
    <comment ref="X14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140105/6 (2)
650 за ГРЗ</t>
        </r>
      </text>
    </comment>
    <comment ref="X15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988 сот связь</t>
        </r>
      </text>
    </comment>
    <comment ref="Y23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11014,86 отпускные за июль</t>
        </r>
      </text>
    </comment>
    <comment ref="E41" authorId="1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3750 доплата за гсм</t>
        </r>
      </text>
    </comment>
    <comment ref="G41" authorId="1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введена в должность с 01.06.2023</t>
        </r>
      </text>
    </comment>
    <comment ref="Y41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12906,46 отпускные за июль</t>
        </r>
      </text>
    </comment>
    <comment ref="Y42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12454,26 отпускные за июль</t>
        </r>
      </text>
    </comment>
    <comment ref="Y43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11861,50 отпускные за июль</t>
        </r>
      </text>
    </comment>
  </commentList>
</comments>
</file>

<file path=xl/comments3.xml><?xml version="1.0" encoding="utf-8"?>
<comments xmlns="http://schemas.openxmlformats.org/spreadsheetml/2006/main">
  <authors>
    <author>Мифодеева Людмила</author>
    <author>Автор</author>
  </authors>
  <commentList>
    <comment ref="X6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562,5 штраф гибдд</t>
        </r>
      </text>
    </comment>
    <comment ref="Y6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150000/18*5=41666,67
250000/18*13=180555,55
итого=222222,23
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14889,70 отпускные за июнь</t>
        </r>
      </text>
    </comment>
    <comment ref="Y11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расчет при увольнении</t>
        </r>
      </text>
    </comment>
    <comment ref="Y25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15095,64 отпускные за июль
</t>
        </r>
      </text>
    </comment>
    <comment ref="Y28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15031,24 отпускные за апрель
15051,54 отпускные за май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введен в должность с 20.08.24</t>
        </r>
      </text>
    </comment>
    <comment ref="Y29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12276,55 отпускные за июнь</t>
        </r>
      </text>
    </comment>
    <comment ref="E37" authorId="1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3750 доплата за гсм</t>
        </r>
      </text>
    </comment>
    <comment ref="G37" authorId="1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введена в должность с 01.06.2023</t>
        </r>
      </text>
    </comment>
    <comment ref="S37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5 доп дней, вуыходила не в свои смены, за Шек</t>
        </r>
      </text>
    </comment>
    <comment ref="Y39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больн за счет фсс</t>
        </r>
      </text>
    </comment>
    <comment ref="J40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больн за счет раб-ля</t>
        </r>
      </text>
    </comment>
    <comment ref="Y40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больн за счет фсс</t>
        </r>
      </text>
    </comment>
    <comment ref="G41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принята 25.06.25
</t>
        </r>
      </text>
    </comment>
    <comment ref="Y41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2 дня стажировка</t>
        </r>
      </text>
    </comment>
    <comment ref="Y44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больн за счет 3 дня</t>
        </r>
      </text>
    </comment>
  </commentList>
</comments>
</file>

<file path=xl/comments4.xml><?xml version="1.0" encoding="utf-8"?>
<comments xmlns="http://schemas.openxmlformats.org/spreadsheetml/2006/main">
  <authors>
    <author>Мифодеева Людмила</author>
  </authors>
  <commentList>
    <comment ref="V28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отправлено на карту расчет при увольнении, в день увольнения офиц. зп</t>
        </r>
      </text>
    </comment>
  </commentList>
</comments>
</file>

<file path=xl/comments5.xml><?xml version="1.0" encoding="utf-8"?>
<comments xmlns="http://schemas.openxmlformats.org/spreadsheetml/2006/main">
  <authors>
    <author>Мифодеева Людмила</author>
  </authors>
  <commentList>
    <comment ref="D7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12.400 доплата за подготовку ТС по приказу 855-23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  <charset val="204"/>
          </rPr>
          <t>Мифодеева Людмила:</t>
        </r>
        <r>
          <rPr>
            <sz val="9"/>
            <color indexed="81"/>
            <rFont val="Tahoma"/>
            <family val="2"/>
            <charset val="204"/>
          </rPr>
          <t xml:space="preserve">
100.000/21*10</t>
        </r>
      </text>
    </comment>
  </commentList>
</comments>
</file>

<file path=xl/sharedStrings.xml><?xml version="1.0" encoding="utf-8"?>
<sst xmlns="http://schemas.openxmlformats.org/spreadsheetml/2006/main" count="832" uniqueCount="387">
  <si>
    <t>контроллёр</t>
  </si>
  <si>
    <t>Старший контроллёр</t>
  </si>
  <si>
    <t>специалист док.обеспечения</t>
  </si>
  <si>
    <t>курьер</t>
  </si>
  <si>
    <t>премия</t>
  </si>
  <si>
    <t xml:space="preserve">оклад </t>
  </si>
  <si>
    <t>РД</t>
  </si>
  <si>
    <t>фикс</t>
  </si>
  <si>
    <t>-</t>
  </si>
  <si>
    <t>Старший НК (1ТС)</t>
  </si>
  <si>
    <t>НК (1ТС)</t>
  </si>
  <si>
    <t>Главный Механик (1ТС)</t>
  </si>
  <si>
    <t>Механик (1ТС)</t>
  </si>
  <si>
    <t>Норма управляемости</t>
  </si>
  <si>
    <t>итого при 100%:</t>
  </si>
  <si>
    <t>при при 120%:</t>
  </si>
  <si>
    <t>Процент выполнения плана и коэффициент:</t>
  </si>
  <si>
    <t>менее 50%</t>
  </si>
  <si>
    <t>50-89,99%</t>
  </si>
  <si>
    <t>Показатель</t>
  </si>
  <si>
    <t>Вес</t>
  </si>
  <si>
    <t>Пробег</t>
  </si>
  <si>
    <t>Затраты на ТО и Р</t>
  </si>
  <si>
    <t>Должность</t>
  </si>
  <si>
    <t>Оклад</t>
  </si>
  <si>
    <t>Премия</t>
  </si>
  <si>
    <t>План</t>
  </si>
  <si>
    <t>кол-во ТС</t>
  </si>
  <si>
    <t>НК</t>
  </si>
  <si>
    <t>№ п/п</t>
  </si>
  <si>
    <t>ФИО</t>
  </si>
  <si>
    <t>старший НК</t>
  </si>
  <si>
    <t>ставка р/тс</t>
  </si>
  <si>
    <t xml:space="preserve"> р/тс</t>
  </si>
  <si>
    <t>тарифная ставка</t>
  </si>
  <si>
    <t>повышающий коэффициент за готовность ТС к МАП</t>
  </si>
  <si>
    <t>15-30%</t>
  </si>
  <si>
    <t>31-50%</t>
  </si>
  <si>
    <t>более 51%</t>
  </si>
  <si>
    <t>x</t>
  </si>
  <si>
    <t>Укомплектованность (отношение явочного коэф водителя к кол-ву ТС)</t>
  </si>
  <si>
    <t>Средний Расход ГСМ</t>
  </si>
  <si>
    <t>Тягач 20,5л П/п 5,5л Тоннаж 20т*0,3=6 Сез.надбавка 26*10%=2.6л Итого: 34,6л (справочно)</t>
  </si>
  <si>
    <t>начислен оклад</t>
  </si>
  <si>
    <t xml:space="preserve">Пробег (км) </t>
  </si>
  <si>
    <t>Затраты на ТОиР (р/км)</t>
  </si>
  <si>
    <t>Факт на 1ТС</t>
  </si>
  <si>
    <t>Уровень выполнения КПЭ</t>
  </si>
  <si>
    <t>Факт р/км</t>
  </si>
  <si>
    <t>ИТОГО ПРЕМИЯ</t>
  </si>
  <si>
    <t>Уровни выполнени КПЭ и ставка вознаграждения</t>
  </si>
  <si>
    <t>ставка вознаграждения</t>
  </si>
  <si>
    <t>Итоговая ставка вознаграждения</t>
  </si>
  <si>
    <t>ИТОГО ЗАРПЛАТА</t>
  </si>
  <si>
    <t>главный механик</t>
  </si>
  <si>
    <t>Справочные коэффициенты для механиков</t>
  </si>
  <si>
    <t>механик по ремонту</t>
  </si>
  <si>
    <t>Затраты на ТОиР</t>
  </si>
  <si>
    <t>Соблюдение графика ТО и регламентного ремонта.</t>
  </si>
  <si>
    <t>План Пробега</t>
  </si>
  <si>
    <t>Соблюдение графика ТО</t>
  </si>
  <si>
    <t>90-94,99%</t>
  </si>
  <si>
    <t>95-99,99%</t>
  </si>
  <si>
    <t>100% и более</t>
  </si>
  <si>
    <t>Факт</t>
  </si>
  <si>
    <t>старший контролер</t>
  </si>
  <si>
    <t>контролер</t>
  </si>
  <si>
    <t>СПТД</t>
  </si>
  <si>
    <t>водитель-курьер</t>
  </si>
  <si>
    <t>Мулындин Д.М.</t>
  </si>
  <si>
    <t>Рашитов Р.К.</t>
  </si>
  <si>
    <t>Сафуанов А.</t>
  </si>
  <si>
    <t>Костин С.В.</t>
  </si>
  <si>
    <t>РД4</t>
  </si>
  <si>
    <t>Кутилин Р.В.</t>
  </si>
  <si>
    <t>Базовая премия</t>
  </si>
  <si>
    <t>Калькулятор расчета зарплаты механикам</t>
  </si>
  <si>
    <t>Калькулятор расчета зарплаты начальникам колонн</t>
  </si>
  <si>
    <t>Калькулятор расчета зарплаты контролерам</t>
  </si>
  <si>
    <t xml:space="preserve">Премия </t>
  </si>
  <si>
    <t>Калькулятор расчета зарплаты СПТД и водителю-курьеру</t>
  </si>
  <si>
    <t>Кол-во ТС с вовремя проведенным обслуживанием/общее кол-во ТС утвержденное в плане ТО</t>
  </si>
  <si>
    <t>управляемость ТС</t>
  </si>
  <si>
    <t>Старший контролёр</t>
  </si>
  <si>
    <t>ИТОГО по департаменту</t>
  </si>
  <si>
    <t>зп на 1ТС</t>
  </si>
  <si>
    <t>ИТОГО ЗП</t>
  </si>
  <si>
    <t>зп на 1 ТС по НК</t>
  </si>
  <si>
    <t>зп на 1 ТС по механикам</t>
  </si>
  <si>
    <t>Итого начислено</t>
  </si>
  <si>
    <t>Удержания (штрафы, претензии)</t>
  </si>
  <si>
    <t xml:space="preserve">Итого к получению </t>
  </si>
  <si>
    <t>Начислен оклад</t>
  </si>
  <si>
    <t>зам дир-ра по производству</t>
  </si>
  <si>
    <t>зп на 1Тс по контролерам</t>
  </si>
  <si>
    <t>НК4</t>
  </si>
  <si>
    <t>Кузьмин А.В.</t>
  </si>
  <si>
    <t>Справочные коэффициенты для контролеров</t>
  </si>
  <si>
    <t>Проведение ежегодного тех. осмтора ТС</t>
  </si>
  <si>
    <t>Базовая премия (часть оклада, которая до этого была)</t>
  </si>
  <si>
    <t>факт</t>
  </si>
  <si>
    <t>Процент выполнения КПЭ</t>
  </si>
  <si>
    <t>коэффициент вознаграждения</t>
  </si>
  <si>
    <t>без НК 5,6</t>
  </si>
  <si>
    <t>Токунов Михаил Сергеевич</t>
  </si>
  <si>
    <t xml:space="preserve">НК3 </t>
  </si>
  <si>
    <t>% выполнения</t>
  </si>
  <si>
    <t xml:space="preserve">механик по ремонту </t>
  </si>
  <si>
    <t>Зыков Андрей Юрьевич</t>
  </si>
  <si>
    <t>ЧФР</t>
  </si>
  <si>
    <t>% премии</t>
  </si>
  <si>
    <t>Сумма</t>
  </si>
  <si>
    <t>KPI 1</t>
  </si>
  <si>
    <t>KPI 2</t>
  </si>
  <si>
    <t>KPI 3</t>
  </si>
  <si>
    <t>Набиев Рустам Нариманович</t>
  </si>
  <si>
    <t>Тагиров Искандер Маратович</t>
  </si>
  <si>
    <t>1. Качество проведения осмотров ТС (Бонус от выставленных штрафов за выявленные нарушения. Сделка)</t>
  </si>
  <si>
    <t>уд. Вес</t>
  </si>
  <si>
    <t>2. Качество выполнения складских операций (ежемесячная инвентаризация)</t>
  </si>
  <si>
    <t>1. Отсутствие просроченной технической документации</t>
  </si>
  <si>
    <t>2. Экономия бюджета на обеспечение технической документации и страхование</t>
  </si>
  <si>
    <t>3. Отсутвие просроченных полисов ОСАГО, КАСКО, ответственность перевозчика</t>
  </si>
  <si>
    <t>Переменная часть</t>
  </si>
  <si>
    <t>Отсутствие претензий от РД1</t>
  </si>
  <si>
    <t>Удежания</t>
  </si>
  <si>
    <t>ИТОГО НАЧИСЛЕНО</t>
  </si>
  <si>
    <t>ИТОГО К ВЫПЛАТЕ</t>
  </si>
  <si>
    <t>Перерасчет за прошлый месяц</t>
  </si>
  <si>
    <t>Руководитель группы</t>
  </si>
  <si>
    <t>КТГ (98%) с учетом ДТП</t>
  </si>
  <si>
    <t>КВЛ (99,5%)</t>
  </si>
  <si>
    <t>менее 90%</t>
  </si>
  <si>
    <t>менее 95%</t>
  </si>
  <si>
    <t>95-95,99</t>
  </si>
  <si>
    <t>96-96,99</t>
  </si>
  <si>
    <t>97-97,99</t>
  </si>
  <si>
    <t>98-100</t>
  </si>
  <si>
    <t>менее 93%</t>
  </si>
  <si>
    <t>93-94,99%</t>
  </si>
  <si>
    <t>95-97,99%</t>
  </si>
  <si>
    <t>98-100%</t>
  </si>
  <si>
    <t>Кочетов А.В.</t>
  </si>
  <si>
    <t>РГ1</t>
  </si>
  <si>
    <t>РГ2</t>
  </si>
  <si>
    <t>НК7</t>
  </si>
  <si>
    <t>НК2</t>
  </si>
  <si>
    <t>НК5</t>
  </si>
  <si>
    <t>НК9</t>
  </si>
  <si>
    <t>ИТОГО зарплата</t>
  </si>
  <si>
    <t>Справочные коэффициенты для РГ и НК</t>
  </si>
  <si>
    <t>Премия к выплате</t>
  </si>
  <si>
    <t>KPI, % влияния</t>
  </si>
  <si>
    <t>1. Соблюдение плановых интервалов замен шин, расходников и агрегатов (допускается доля внеплановых замен не более 5%). Отклонение от нормы ходимости +- 5%.</t>
  </si>
  <si>
    <t>2. Затраты на ТО и Р</t>
  </si>
  <si>
    <t>3. Смарт задачи</t>
  </si>
  <si>
    <t>Фалахова Алсу Халиловна</t>
  </si>
  <si>
    <t>Базыгутдинов Дамир Асафутдинович</t>
  </si>
  <si>
    <t>Хузин</t>
  </si>
  <si>
    <t>Захаров Андрей Юрьевич</t>
  </si>
  <si>
    <t>KPI</t>
  </si>
  <si>
    <t>Цель</t>
  </si>
  <si>
    <t>Обучать водителей экономичному вождению. Выявлять и устранять неисправности топливной системы</t>
  </si>
  <si>
    <t>% пережога по парку</t>
  </si>
  <si>
    <t>свыше 2-х%</t>
  </si>
  <si>
    <t>от 2х до 1,5%</t>
  </si>
  <si>
    <t>от 1,49 до 1%</t>
  </si>
  <si>
    <t>менее 1%</t>
  </si>
  <si>
    <t xml:space="preserve">Найти причину пережога. Пресекать хищения топлива водителями. </t>
  </si>
  <si>
    <t>При факте слива топлива компания получила возмещение от виновника</t>
  </si>
  <si>
    <t>Снизить текучесть водителей в период адаптации</t>
  </si>
  <si>
    <t xml:space="preserve">Доля уволенных водителей в течении 3-х месяцев не более </t>
  </si>
  <si>
    <t>более 15%</t>
  </si>
  <si>
    <t>от 15 до 10%</t>
  </si>
  <si>
    <t>менее 10%</t>
  </si>
  <si>
    <t>Прогноз достижения результата</t>
  </si>
  <si>
    <t>Выполнение смарт задач</t>
  </si>
  <si>
    <t>Задачи № 1-3</t>
  </si>
  <si>
    <t>Задачи № 4-6</t>
  </si>
  <si>
    <t>Итого премия</t>
  </si>
  <si>
    <t>Итого ЗП:</t>
  </si>
  <si>
    <t>Мирсанов Юрий Анатольевич</t>
  </si>
  <si>
    <t>Попов Юрий Андреевич</t>
  </si>
  <si>
    <r>
      <t xml:space="preserve">Уровень выполнения КПЭ </t>
    </r>
    <r>
      <rPr>
        <i/>
        <sz val="9"/>
        <color theme="1"/>
        <rFont val="Calibri"/>
        <family val="2"/>
        <charset val="204"/>
        <scheme val="minor"/>
      </rPr>
      <t>(экономия менее 100%, перерасход более 100%)</t>
    </r>
  </si>
  <si>
    <t>ФОТ персонала Д4</t>
  </si>
  <si>
    <t>ФОТ АУП</t>
  </si>
  <si>
    <t>98-99,99%</t>
  </si>
  <si>
    <t>99,05-100</t>
  </si>
  <si>
    <t>Начальник автоколонны НЧ и филиалы</t>
  </si>
  <si>
    <t>90-92,99</t>
  </si>
  <si>
    <t>93-95,99</t>
  </si>
  <si>
    <t>96-99,99</t>
  </si>
  <si>
    <t>менее или =100%</t>
  </si>
  <si>
    <t>более 130%</t>
  </si>
  <si>
    <t>129,99-120</t>
  </si>
  <si>
    <t>119,99-110</t>
  </si>
  <si>
    <t>109,99-100,9</t>
  </si>
  <si>
    <t>Набиуллин</t>
  </si>
  <si>
    <t>Доплаты (согл. достигнутых показателей)</t>
  </si>
  <si>
    <t>Пахулин Андрей Михайлович</t>
  </si>
  <si>
    <t>Ардашов Дмитрий Сергеевич</t>
  </si>
  <si>
    <t>НК6</t>
  </si>
  <si>
    <t>НК8</t>
  </si>
  <si>
    <t>НК12</t>
  </si>
  <si>
    <t>Нк14</t>
  </si>
  <si>
    <t xml:space="preserve">ведущий механик по ремонту </t>
  </si>
  <si>
    <t>Аматыч Роберт Альбертович</t>
  </si>
  <si>
    <t>Галимов Ильнур Ирикович</t>
  </si>
  <si>
    <t>Хайруллина Екатерина Сергеевна</t>
  </si>
  <si>
    <t>НК13</t>
  </si>
  <si>
    <t>исп срок</t>
  </si>
  <si>
    <t>Доля МАП, чел</t>
  </si>
  <si>
    <t>от 1 до 5</t>
  </si>
  <si>
    <t>от 1 до 3</t>
  </si>
  <si>
    <t>от 4 до 5</t>
  </si>
  <si>
    <t>от 6 до 7</t>
  </si>
  <si>
    <t>от 8 до 10</t>
  </si>
  <si>
    <t>более 10</t>
  </si>
  <si>
    <t>от 6 до 10</t>
  </si>
  <si>
    <t>от 11 до 15</t>
  </si>
  <si>
    <t>от 16 до 20</t>
  </si>
  <si>
    <t>более 20</t>
  </si>
  <si>
    <t>кол-во</t>
  </si>
  <si>
    <t>Доплата для доведения минимальной крышки в случае недостижения KPI</t>
  </si>
  <si>
    <t>Рожин Дмитрий Валерьевич</t>
  </si>
  <si>
    <t>менее 92%</t>
  </si>
  <si>
    <t>92-94,99%</t>
  </si>
  <si>
    <t>менее 96%</t>
  </si>
  <si>
    <t>98-99,5</t>
  </si>
  <si>
    <t>Базыгутдинов Дамир</t>
  </si>
  <si>
    <t>Кабильков Евгений Михайлович</t>
  </si>
  <si>
    <t>Морозов Виктор Сергеевич</t>
  </si>
  <si>
    <t>Попов Андрей Викторович</t>
  </si>
  <si>
    <t>НК исп срок</t>
  </si>
  <si>
    <t>Веденяпин Сергей Юрьевич</t>
  </si>
  <si>
    <t>Козлов Максим Юрьевич</t>
  </si>
  <si>
    <t>ДЕЙСТВУЮЩАЯ СИСТЕМА МОТИВАЦИИ</t>
  </si>
  <si>
    <t>НОВАЯ СИСТЕМА МОТИВАЦИИ</t>
  </si>
  <si>
    <t>План по маржинальной прибыли</t>
  </si>
  <si>
    <t>ФАКТ по маржинальной прибыли</t>
  </si>
  <si>
    <t>План по прибыли</t>
  </si>
  <si>
    <t>Расход  ДТ</t>
  </si>
  <si>
    <t>Доля МАП</t>
  </si>
  <si>
    <t>Премия за показатель</t>
  </si>
  <si>
    <t>Экономия/пережог</t>
  </si>
  <si>
    <t xml:space="preserve">кол-во </t>
  </si>
  <si>
    <t>Ставка при выполнении плана по МП</t>
  </si>
  <si>
    <t>Ставка при выполнении плана по МП и при наличии экономии</t>
  </si>
  <si>
    <t>План по ВП</t>
  </si>
  <si>
    <t>Факт по ВП</t>
  </si>
  <si>
    <t>Факт по ТО иР</t>
  </si>
  <si>
    <t>Перевыполнение плана по ВП</t>
  </si>
  <si>
    <t>План переменные расходы Д4</t>
  </si>
  <si>
    <t>Отклонения план-факт</t>
  </si>
  <si>
    <t>Рашитов Рамиль Камилович</t>
  </si>
  <si>
    <t>Федоров Евгений Александрович</t>
  </si>
  <si>
    <t>Абрамчев Дмитрий Владимирович</t>
  </si>
  <si>
    <t>Измайлов Владимир Владимирович</t>
  </si>
  <si>
    <t>Кочетов Александр Валерьевич</t>
  </si>
  <si>
    <t>Минаков Ильхам Наилович</t>
  </si>
  <si>
    <t>Мулындин Денис Михайлович</t>
  </si>
  <si>
    <t>Набиуллин Фидус Фанзильевич</t>
  </si>
  <si>
    <t>Тищенко Юрий Николаевич</t>
  </si>
  <si>
    <t>Хузин Айнур Наилович</t>
  </si>
  <si>
    <t>Базыгутдинов Дамир Асафутинович</t>
  </si>
  <si>
    <t>январь,24</t>
  </si>
  <si>
    <t>февраль,24</t>
  </si>
  <si>
    <t>март,24</t>
  </si>
  <si>
    <t>апрель,24</t>
  </si>
  <si>
    <t>май,24</t>
  </si>
  <si>
    <t>Ф.И.О.</t>
  </si>
  <si>
    <t>Итого зарплата по месяцам</t>
  </si>
  <si>
    <t>июнь,24</t>
  </si>
  <si>
    <t>Выполнение плана по Марже</t>
  </si>
  <si>
    <t>Сумма перевыполнения</t>
  </si>
  <si>
    <t>ТРАНСПОРТНАЯ КОМПАНИЯ</t>
  </si>
  <si>
    <t>Подразделение</t>
  </si>
  <si>
    <t>Премия (переменная часть)</t>
  </si>
  <si>
    <t>ИТОГО ФОТ</t>
  </si>
  <si>
    <t>Отраб.время</t>
  </si>
  <si>
    <t>Оф.з/п</t>
  </si>
  <si>
    <t>НДФЛ на оф.</t>
  </si>
  <si>
    <t>Аванс на карту</t>
  </si>
  <si>
    <t>З/п на карту</t>
  </si>
  <si>
    <t>Остаток на начало расчетного периода</t>
  </si>
  <si>
    <t>Начислено по положению</t>
  </si>
  <si>
    <t>Отпускные</t>
  </si>
  <si>
    <t>Прочие доплаты</t>
  </si>
  <si>
    <t>Удержания</t>
  </si>
  <si>
    <t>К выплате через кассу</t>
  </si>
  <si>
    <t>Выплачено через кассу</t>
  </si>
  <si>
    <t>Остаток на конец расчетного периода</t>
  </si>
  <si>
    <t>примечание</t>
  </si>
  <si>
    <t>Сотрудник</t>
  </si>
  <si>
    <t>Офиц</t>
  </si>
  <si>
    <t>Неофиц</t>
  </si>
  <si>
    <t>ОКЛАД Всего</t>
  </si>
  <si>
    <t>Комп. при увольнении по соглашению сторон</t>
  </si>
  <si>
    <t>Итого</t>
  </si>
  <si>
    <t>специалист по развитию и обучению персонала</t>
  </si>
  <si>
    <t>Д4-Производственный департамент</t>
  </si>
  <si>
    <t>Производственный отдел</t>
  </si>
  <si>
    <t>РГ</t>
  </si>
  <si>
    <t>Технический отдел</t>
  </si>
  <si>
    <t>Механик - контролер</t>
  </si>
  <si>
    <t>Асулханов Айрат Анварович</t>
  </si>
  <si>
    <t>Инженер-механик</t>
  </si>
  <si>
    <t>Габдракипов Нафис Фанисович</t>
  </si>
  <si>
    <t>Габитов Фаниль Фаргатович</t>
  </si>
  <si>
    <t>ведущий механик</t>
  </si>
  <si>
    <t>Дресвянников Виктор Владимирович</t>
  </si>
  <si>
    <t>Кияметдинов Фарит Рустамович</t>
  </si>
  <si>
    <t>Главный механик</t>
  </si>
  <si>
    <t>Кузьмин Алексей Викторович</t>
  </si>
  <si>
    <t>Мифтахов Ильдар Зуфарович</t>
  </si>
  <si>
    <t>Механик по обслуживанию транспортных средств</t>
  </si>
  <si>
    <t>Николаев Игорь Евгеньевич</t>
  </si>
  <si>
    <t>Старший механик - контролер</t>
  </si>
  <si>
    <t>Сафуанов Амир Мансурович</t>
  </si>
  <si>
    <t>Свистунов Дмитрий Петрович</t>
  </si>
  <si>
    <t>Скобяк Дмитрий Владиславович</t>
  </si>
  <si>
    <t>Спиридонов Алик Альбертович</t>
  </si>
  <si>
    <t>Инженер механик</t>
  </si>
  <si>
    <t>специалист по технической документации</t>
  </si>
  <si>
    <t>Отдел сопровождения водителей</t>
  </si>
  <si>
    <t>Оператор</t>
  </si>
  <si>
    <t>Борейко Оксана Ивановна</t>
  </si>
  <si>
    <t>Ерошкина Виктория Константиновна</t>
  </si>
  <si>
    <t>Ковалева Юлия Сергеевна</t>
  </si>
  <si>
    <t>Водитель-курьер</t>
  </si>
  <si>
    <t>Костин Сергей Васильевич</t>
  </si>
  <si>
    <t>Костина Рузиля Равилевна</t>
  </si>
  <si>
    <t>Кузьмина Гузель Назиповна</t>
  </si>
  <si>
    <t>Оператор по качеству</t>
  </si>
  <si>
    <t>Мазмаева Елена Николаевна</t>
  </si>
  <si>
    <t>Митченко Галина Николаевна</t>
  </si>
  <si>
    <t>Отдел обучения водителей</t>
  </si>
  <si>
    <t>ОКЛАД</t>
  </si>
  <si>
    <t>Факт по маржинальной прибыли</t>
  </si>
  <si>
    <t>План по маржинальной прибыли (ТБУ)</t>
  </si>
  <si>
    <t xml:space="preserve">ВАЛОВАЯ ПРИБЫЛЬ </t>
  </si>
  <si>
    <t xml:space="preserve">Перевыполнение плана </t>
  </si>
  <si>
    <t>ПЕРЕМЕННЫЕ РАСХОДЫ, Д-4</t>
  </si>
  <si>
    <t>План (Фонд по фактическому пробегу, руб)</t>
  </si>
  <si>
    <t>Козин Александр Павлович</t>
  </si>
  <si>
    <t>Механик-инженер</t>
  </si>
  <si>
    <t>KPI за 1 ТС</t>
  </si>
  <si>
    <t>Показатель KPI</t>
  </si>
  <si>
    <t>На 1 ТС</t>
  </si>
  <si>
    <t>Коэффициенты</t>
  </si>
  <si>
    <t>КТГ</t>
  </si>
  <si>
    <t>Менее 95%</t>
  </si>
  <si>
    <t>95-95,99%</t>
  </si>
  <si>
    <t>96-96,99%</t>
  </si>
  <si>
    <t>98% и более</t>
  </si>
  <si>
    <t>Выполнение плана по ремфонду</t>
  </si>
  <si>
    <t>110% и более</t>
  </si>
  <si>
    <t>105-110%</t>
  </si>
  <si>
    <t>100-105%</t>
  </si>
  <si>
    <t>100% и менее</t>
  </si>
  <si>
    <t>при 0,0</t>
  </si>
  <si>
    <t>при 0,5</t>
  </si>
  <si>
    <t>при 0,6</t>
  </si>
  <si>
    <t>при 0,8</t>
  </si>
  <si>
    <t>при 1,0</t>
  </si>
  <si>
    <t>Выполнение графика прохождения ТО и ИО</t>
  </si>
  <si>
    <t>Испытательный период для новичков на 2 месяца:</t>
  </si>
  <si>
    <t>100 000р</t>
  </si>
  <si>
    <t>Коэффициент</t>
  </si>
  <si>
    <t>кол-во ТС факт</t>
  </si>
  <si>
    <t xml:space="preserve"> ( 1300 руб. за каждое ТС)</t>
  </si>
  <si>
    <t>Мавлиев Марат Ильшатович</t>
  </si>
  <si>
    <t>И-М</t>
  </si>
  <si>
    <t>Удержяния</t>
  </si>
  <si>
    <t>Закиев Ренат Марселевич</t>
  </si>
  <si>
    <t>Шек Дарья Витальевна</t>
  </si>
  <si>
    <t>Наличие премии в зависимости от перевыполнения плана по прибыли "0"-нет, "1"-да</t>
  </si>
  <si>
    <t>РГ3</t>
  </si>
  <si>
    <t>Бикмуллин Айрат Равилевич</t>
  </si>
  <si>
    <t>РГ Д4</t>
  </si>
  <si>
    <t>Ганеев Ильнур Асгатевич</t>
  </si>
  <si>
    <t>Гильфанова Светлана Сергеевна</t>
  </si>
  <si>
    <t>Начальник технического отдела</t>
  </si>
  <si>
    <t>Нурмухаметов Айрат Ринатович</t>
  </si>
  <si>
    <t>Сайфетдинов Эдуард Кияметдинович</t>
  </si>
  <si>
    <t>Тятюшкин Иван Иванович</t>
  </si>
  <si>
    <t>Латышева Анна Ивановна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</si>
</sst>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#,##0\ &quot;₽&quot;;[Red]\-#,##0\ &quot;₽&quot;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0.0"/>
    <numFmt numFmtId="168" formatCode="0.0%"/>
    <numFmt numFmtId="169" formatCode="0.00_ ;[Red]\-0.00\ "/>
    <numFmt numFmtId="170" formatCode="#,##0_ ;[Red]\-#,##0\ "/>
    <numFmt numFmtId="171" formatCode="#,##0.00_ ;[Red]\-#,##0.00\ "/>
    <numFmt numFmtId="172" formatCode="#,##0\ &quot;₽&quot;"/>
    <numFmt numFmtId="173" formatCode="#,##0\ [$₽-419];\-#,##0\ [$₽-419]"/>
  </numFmts>
  <fonts count="6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name val="Gill Sans MT"/>
      <family val="2"/>
      <charset val="204"/>
    </font>
    <font>
      <sz val="8"/>
      <name val="Gill Sans MT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Gill Sans MT"/>
      <family val="2"/>
      <charset val="204"/>
    </font>
    <font>
      <b/>
      <sz val="9"/>
      <name val="Corbel"/>
      <family val="2"/>
      <charset val="204"/>
    </font>
    <font>
      <sz val="9"/>
      <name val="Gill Sans MT"/>
      <family val="2"/>
      <charset val="204"/>
    </font>
    <font>
      <sz val="9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charset val="204"/>
    </font>
    <font>
      <i/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i/>
      <sz val="9"/>
      <color theme="4" tint="-0.249977111117893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i/>
      <sz val="11"/>
      <color rgb="FF00206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i/>
      <sz val="11"/>
      <color rgb="FF00206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  <charset val="204"/>
    </font>
    <font>
      <sz val="1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0" fillId="0" borderId="0"/>
    <xf numFmtId="9" fontId="19" fillId="0" borderId="0" applyFont="0" applyFill="0" applyBorder="0" applyAlignment="0" applyProtection="0"/>
  </cellStyleXfs>
  <cellXfs count="5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2" fillId="0" borderId="2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3" fontId="0" fillId="0" borderId="1" xfId="0" applyNumberFormat="1" applyBorder="1"/>
    <xf numFmtId="3" fontId="0" fillId="0" borderId="0" xfId="0" applyNumberFormat="1"/>
    <xf numFmtId="165" fontId="0" fillId="0" borderId="1" xfId="0" applyNumberFormat="1" applyBorder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vertical="top" wrapText="1"/>
    </xf>
    <xf numFmtId="9" fontId="0" fillId="4" borderId="1" xfId="0" applyNumberFormat="1" applyFill="1" applyBorder="1"/>
    <xf numFmtId="0" fontId="0" fillId="5" borderId="1" xfId="0" applyFill="1" applyBorder="1" applyAlignment="1">
      <alignment vertical="top" wrapText="1"/>
    </xf>
    <xf numFmtId="9" fontId="0" fillId="5" borderId="1" xfId="0" applyNumberFormat="1" applyFill="1" applyBorder="1"/>
    <xf numFmtId="0" fontId="0" fillId="6" borderId="1" xfId="0" applyFill="1" applyBorder="1" applyAlignment="1">
      <alignment vertical="top" wrapText="1"/>
    </xf>
    <xf numFmtId="9" fontId="0" fillId="6" borderId="1" xfId="0" applyNumberFormat="1" applyFill="1" applyBorder="1"/>
    <xf numFmtId="3" fontId="3" fillId="2" borderId="1" xfId="0" applyNumberFormat="1" applyFont="1" applyFill="1" applyBorder="1"/>
    <xf numFmtId="0" fontId="9" fillId="4" borderId="1" xfId="0" applyFont="1" applyFill="1" applyBorder="1" applyAlignment="1">
      <alignment vertical="top" wrapText="1"/>
    </xf>
    <xf numFmtId="3" fontId="9" fillId="4" borderId="1" xfId="0" applyNumberFormat="1" applyFont="1" applyFill="1" applyBorder="1"/>
    <xf numFmtId="3" fontId="9" fillId="4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vertical="top" wrapText="1"/>
    </xf>
    <xf numFmtId="3" fontId="9" fillId="5" borderId="1" xfId="0" applyNumberFormat="1" applyFont="1" applyFill="1" applyBorder="1"/>
    <xf numFmtId="3" fontId="9" fillId="5" borderId="1" xfId="0" applyNumberFormat="1" applyFont="1" applyFill="1" applyBorder="1" applyAlignment="1">
      <alignment horizontal="right"/>
    </xf>
    <xf numFmtId="0" fontId="9" fillId="6" borderId="1" xfId="0" applyFont="1" applyFill="1" applyBorder="1" applyAlignment="1">
      <alignment vertical="top" wrapText="1"/>
    </xf>
    <xf numFmtId="3" fontId="9" fillId="6" borderId="1" xfId="0" applyNumberFormat="1" applyFont="1" applyFill="1" applyBorder="1"/>
    <xf numFmtId="3" fontId="9" fillId="6" borderId="1" xfId="0" applyNumberFormat="1" applyFont="1" applyFill="1" applyBorder="1" applyAlignment="1">
      <alignment horizontal="right"/>
    </xf>
    <xf numFmtId="3" fontId="10" fillId="2" borderId="1" xfId="0" applyNumberFormat="1" applyFont="1" applyFill="1" applyBorder="1"/>
    <xf numFmtId="3" fontId="10" fillId="2" borderId="1" xfId="0" applyNumberFormat="1" applyFont="1" applyFill="1" applyBorder="1" applyAlignment="1">
      <alignment horizontal="right"/>
    </xf>
    <xf numFmtId="0" fontId="3" fillId="0" borderId="0" xfId="0" applyFont="1"/>
    <xf numFmtId="0" fontId="3" fillId="7" borderId="0" xfId="0" applyFont="1" applyFill="1"/>
    <xf numFmtId="0" fontId="0" fillId="7" borderId="0" xfId="0" applyFill="1"/>
    <xf numFmtId="0" fontId="0" fillId="7" borderId="1" xfId="0" applyFill="1" applyBorder="1"/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center" wrapText="1" readingOrder="1"/>
    </xf>
    <xf numFmtId="0" fontId="6" fillId="7" borderId="1" xfId="0" applyFont="1" applyFill="1" applyBorder="1" applyAlignment="1">
      <alignment vertical="center" wrapText="1" readingOrder="1"/>
    </xf>
    <xf numFmtId="3" fontId="6" fillId="7" borderId="1" xfId="0" applyNumberFormat="1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left" vertical="top" wrapText="1" readingOrder="1"/>
    </xf>
    <xf numFmtId="0" fontId="8" fillId="7" borderId="1" xfId="0" applyFont="1" applyFill="1" applyBorder="1" applyAlignment="1">
      <alignment horizontal="right" wrapText="1" readingOrder="1"/>
    </xf>
    <xf numFmtId="0" fontId="7" fillId="7" borderId="1" xfId="0" applyFont="1" applyFill="1" applyBorder="1" applyAlignment="1">
      <alignment horizontal="right" wrapText="1" readingOrder="1"/>
    </xf>
    <xf numFmtId="0" fontId="11" fillId="7" borderId="1" xfId="0" applyFont="1" applyFill="1" applyBorder="1" applyAlignment="1">
      <alignment vertical="top" wrapText="1"/>
    </xf>
    <xf numFmtId="0" fontId="5" fillId="7" borderId="0" xfId="0" applyFont="1" applyFill="1" applyAlignment="1">
      <alignment vertical="center" wrapText="1" readingOrder="1"/>
    </xf>
    <xf numFmtId="0" fontId="14" fillId="7" borderId="1" xfId="0" applyFont="1" applyFill="1" applyBorder="1" applyAlignment="1">
      <alignment horizontal="left" vertical="center" wrapText="1" readingOrder="1"/>
    </xf>
    <xf numFmtId="0" fontId="6" fillId="7" borderId="0" xfId="0" applyFont="1" applyFill="1" applyAlignment="1">
      <alignment horizontal="center" vertical="center" wrapText="1" readingOrder="1"/>
    </xf>
    <xf numFmtId="3" fontId="0" fillId="2" borderId="1" xfId="0" applyNumberFormat="1" applyFill="1" applyBorder="1"/>
    <xf numFmtId="0" fontId="16" fillId="0" borderId="0" xfId="0" applyFont="1"/>
    <xf numFmtId="0" fontId="0" fillId="0" borderId="1" xfId="0" applyBorder="1" applyAlignment="1">
      <alignment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center" wrapText="1" readingOrder="1"/>
    </xf>
    <xf numFmtId="0" fontId="14" fillId="7" borderId="1" xfId="0" applyFont="1" applyFill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 readingOrder="1"/>
    </xf>
    <xf numFmtId="3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1" xfId="0" applyFont="1" applyBorder="1"/>
    <xf numFmtId="3" fontId="18" fillId="0" borderId="1" xfId="0" applyNumberFormat="1" applyFont="1" applyBorder="1" applyAlignment="1">
      <alignment horizontal="center" vertical="center"/>
    </xf>
    <xf numFmtId="0" fontId="17" fillId="0" borderId="0" xfId="0" applyFont="1"/>
    <xf numFmtId="166" fontId="0" fillId="0" borderId="0" xfId="3" applyNumberFormat="1" applyFont="1"/>
    <xf numFmtId="1" fontId="17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9" fontId="8" fillId="7" borderId="1" xfId="0" applyNumberFormat="1" applyFont="1" applyFill="1" applyBorder="1" applyAlignment="1">
      <alignment horizontal="right" wrapText="1" readingOrder="1"/>
    </xf>
    <xf numFmtId="3" fontId="0" fillId="4" borderId="1" xfId="0" applyNumberFormat="1" applyFill="1" applyBorder="1"/>
    <xf numFmtId="165" fontId="0" fillId="5" borderId="1" xfId="0" applyNumberFormat="1" applyFill="1" applyBorder="1"/>
    <xf numFmtId="9" fontId="9" fillId="5" borderId="1" xfId="0" applyNumberFormat="1" applyFont="1" applyFill="1" applyBorder="1"/>
    <xf numFmtId="167" fontId="9" fillId="5" borderId="1" xfId="0" applyNumberFormat="1" applyFont="1" applyFill="1" applyBorder="1"/>
    <xf numFmtId="9" fontId="9" fillId="5" borderId="1" xfId="0" applyNumberFormat="1" applyFont="1" applyFill="1" applyBorder="1" applyAlignment="1">
      <alignment horizontal="right"/>
    </xf>
    <xf numFmtId="1" fontId="0" fillId="0" borderId="1" xfId="0" applyNumberFormat="1" applyBorder="1"/>
    <xf numFmtId="10" fontId="0" fillId="6" borderId="1" xfId="0" applyNumberFormat="1" applyFill="1" applyBorder="1"/>
    <xf numFmtId="167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9" fontId="3" fillId="2" borderId="1" xfId="0" applyNumberFormat="1" applyFont="1" applyFill="1" applyBorder="1"/>
    <xf numFmtId="0" fontId="20" fillId="8" borderId="6" xfId="0" applyFont="1" applyFill="1" applyBorder="1" applyAlignment="1">
      <alignment vertical="top" wrapText="1"/>
    </xf>
    <xf numFmtId="0" fontId="20" fillId="8" borderId="7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0" fillId="0" borderId="13" xfId="0" applyBorder="1" applyAlignment="1">
      <alignment horizontal="center" vertical="top" wrapText="1"/>
    </xf>
    <xf numFmtId="168" fontId="0" fillId="0" borderId="1" xfId="0" applyNumberFormat="1" applyBorder="1"/>
    <xf numFmtId="0" fontId="9" fillId="5" borderId="2" xfId="0" applyFont="1" applyFill="1" applyBorder="1" applyAlignment="1">
      <alignment vertical="top" wrapText="1"/>
    </xf>
    <xf numFmtId="168" fontId="28" fillId="5" borderId="1" xfId="0" applyNumberFormat="1" applyFont="1" applyFill="1" applyBorder="1"/>
    <xf numFmtId="165" fontId="0" fillId="0" borderId="1" xfId="0" applyNumberFormat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165" fontId="9" fillId="4" borderId="1" xfId="0" applyNumberFormat="1" applyFont="1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165" fontId="9" fillId="5" borderId="1" xfId="0" applyNumberFormat="1" applyFont="1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10" fontId="0" fillId="0" borderId="1" xfId="0" applyNumberFormat="1" applyBorder="1"/>
    <xf numFmtId="10" fontId="0" fillId="5" borderId="1" xfId="0" applyNumberFormat="1" applyFill="1" applyBorder="1"/>
    <xf numFmtId="3" fontId="0" fillId="6" borderId="1" xfId="0" applyNumberFormat="1" applyFill="1" applyBorder="1"/>
    <xf numFmtId="165" fontId="27" fillId="0" borderId="1" xfId="0" applyNumberFormat="1" applyFont="1" applyBorder="1" applyAlignment="1">
      <alignment horizontal="center" vertical="top" wrapText="1"/>
    </xf>
    <xf numFmtId="10" fontId="28" fillId="4" borderId="1" xfId="0" applyNumberFormat="1" applyFont="1" applyFill="1" applyBorder="1"/>
    <xf numFmtId="10" fontId="28" fillId="5" borderId="1" xfId="0" applyNumberFormat="1" applyFont="1" applyFill="1" applyBorder="1"/>
    <xf numFmtId="9" fontId="28" fillId="4" borderId="1" xfId="0" applyNumberFormat="1" applyFont="1" applyFill="1" applyBorder="1"/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7" fillId="7" borderId="1" xfId="0" applyFont="1" applyFill="1" applyBorder="1" applyAlignment="1">
      <alignment horizontal="right" vertical="top" wrapText="1" readingOrder="1"/>
    </xf>
    <xf numFmtId="3" fontId="8" fillId="7" borderId="1" xfId="0" applyNumberFormat="1" applyFont="1" applyFill="1" applyBorder="1" applyAlignment="1">
      <alignment horizontal="right" vertical="top" wrapText="1" readingOrder="1"/>
    </xf>
    <xf numFmtId="0" fontId="8" fillId="7" borderId="1" xfId="0" applyFont="1" applyFill="1" applyBorder="1" applyAlignment="1">
      <alignment horizontal="right" vertical="top" wrapText="1" readingOrder="1"/>
    </xf>
    <xf numFmtId="0" fontId="0" fillId="9" borderId="1" xfId="0" applyFill="1" applyBorder="1"/>
    <xf numFmtId="0" fontId="0" fillId="10" borderId="1" xfId="0" applyFill="1" applyBorder="1"/>
    <xf numFmtId="3" fontId="0" fillId="9" borderId="1" xfId="0" applyNumberFormat="1" applyFill="1" applyBorder="1"/>
    <xf numFmtId="3" fontId="0" fillId="10" borderId="1" xfId="0" applyNumberFormat="1" applyFill="1" applyBorder="1"/>
    <xf numFmtId="0" fontId="10" fillId="2" borderId="6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0" fillId="4" borderId="0" xfId="0" applyFill="1" applyAlignment="1">
      <alignment wrapText="1"/>
    </xf>
    <xf numFmtId="44" fontId="0" fillId="4" borderId="0" xfId="4" applyFont="1" applyFill="1" applyAlignment="1">
      <alignment wrapText="1"/>
    </xf>
    <xf numFmtId="0" fontId="1" fillId="0" borderId="0" xfId="0" applyFont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44" fontId="0" fillId="12" borderId="1" xfId="4" applyFont="1" applyFill="1" applyBorder="1" applyAlignment="1">
      <alignment wrapText="1"/>
    </xf>
    <xf numFmtId="44" fontId="0" fillId="2" borderId="1" xfId="4" applyFont="1" applyFill="1" applyBorder="1" applyAlignment="1">
      <alignment wrapText="1"/>
    </xf>
    <xf numFmtId="44" fontId="0" fillId="5" borderId="1" xfId="4" applyFont="1" applyFill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4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9" fontId="0" fillId="2" borderId="1" xfId="4" applyNumberFormat="1" applyFont="1" applyFill="1" applyBorder="1" applyAlignment="1">
      <alignment wrapText="1"/>
    </xf>
    <xf numFmtId="9" fontId="0" fillId="5" borderId="1" xfId="4" applyNumberFormat="1" applyFont="1" applyFill="1" applyBorder="1" applyAlignment="1">
      <alignment wrapText="1"/>
    </xf>
    <xf numFmtId="44" fontId="0" fillId="0" borderId="0" xfId="4" applyFont="1" applyAlignment="1">
      <alignment wrapText="1"/>
    </xf>
    <xf numFmtId="44" fontId="0" fillId="0" borderId="1" xfId="4" applyFont="1" applyBorder="1" applyAlignment="1">
      <alignment wrapText="1"/>
    </xf>
    <xf numFmtId="0" fontId="0" fillId="4" borderId="1" xfId="0" applyFill="1" applyBorder="1" applyAlignment="1">
      <alignment wrapText="1"/>
    </xf>
    <xf numFmtId="44" fontId="0" fillId="4" borderId="1" xfId="4" applyFont="1" applyFill="1" applyBorder="1" applyAlignment="1">
      <alignment wrapText="1"/>
    </xf>
    <xf numFmtId="0" fontId="0" fillId="4" borderId="0" xfId="0" applyFill="1" applyAlignment="1">
      <alignment horizontal="right" wrapText="1"/>
    </xf>
    <xf numFmtId="9" fontId="0" fillId="0" borderId="1" xfId="0" applyNumberFormat="1" applyBorder="1" applyAlignment="1">
      <alignment wrapText="1"/>
    </xf>
    <xf numFmtId="0" fontId="7" fillId="7" borderId="0" xfId="0" applyFont="1" applyFill="1" applyBorder="1" applyAlignment="1">
      <alignment horizontal="center" vertical="top" wrapText="1" readingOrder="1"/>
    </xf>
    <xf numFmtId="0" fontId="7" fillId="7" borderId="0" xfId="0" applyFont="1" applyFill="1" applyBorder="1" applyAlignment="1">
      <alignment horizontal="right" vertical="top" wrapText="1" readingOrder="1"/>
    </xf>
    <xf numFmtId="3" fontId="3" fillId="13" borderId="1" xfId="0" applyNumberFormat="1" applyFont="1" applyFill="1" applyBorder="1"/>
    <xf numFmtId="4" fontId="0" fillId="14" borderId="3" xfId="0" applyNumberForma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>
      <alignment horizontal="right" vertical="top" wrapText="1" readingOrder="1"/>
    </xf>
    <xf numFmtId="0" fontId="0" fillId="7" borderId="0" xfId="0" applyFill="1" applyBorder="1"/>
    <xf numFmtId="3" fontId="9" fillId="0" borderId="1" xfId="0" applyNumberFormat="1" applyFont="1" applyFill="1" applyBorder="1"/>
    <xf numFmtId="0" fontId="10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horizontal="center" vertical="top" wrapText="1"/>
    </xf>
    <xf numFmtId="3" fontId="0" fillId="0" borderId="1" xfId="0" applyNumberFormat="1" applyBorder="1" applyAlignment="1">
      <alignment horizontal="center"/>
    </xf>
    <xf numFmtId="3" fontId="3" fillId="9" borderId="1" xfId="0" applyNumberFormat="1" applyFont="1" applyFill="1" applyBorder="1"/>
    <xf numFmtId="3" fontId="3" fillId="10" borderId="1" xfId="0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3" fontId="3" fillId="0" borderId="1" xfId="0" applyNumberFormat="1" applyFont="1" applyFill="1" applyBorder="1"/>
    <xf numFmtId="3" fontId="10" fillId="0" borderId="1" xfId="0" applyNumberFormat="1" applyFont="1" applyFill="1" applyBorder="1"/>
    <xf numFmtId="0" fontId="0" fillId="0" borderId="0" xfId="0" applyFill="1"/>
    <xf numFmtId="3" fontId="0" fillId="0" borderId="0" xfId="0" applyNumberFormat="1" applyFill="1"/>
    <xf numFmtId="0" fontId="25" fillId="0" borderId="10" xfId="0" applyFont="1" applyBorder="1"/>
    <xf numFmtId="0" fontId="0" fillId="0" borderId="9" xfId="0" applyBorder="1"/>
    <xf numFmtId="3" fontId="0" fillId="0" borderId="9" xfId="0" applyNumberFormat="1" applyBorder="1"/>
    <xf numFmtId="3" fontId="3" fillId="0" borderId="9" xfId="0" applyNumberFormat="1" applyFont="1" applyBorder="1"/>
    <xf numFmtId="0" fontId="0" fillId="0" borderId="6" xfId="0" applyBorder="1"/>
    <xf numFmtId="0" fontId="0" fillId="0" borderId="8" xfId="0" applyBorder="1"/>
    <xf numFmtId="0" fontId="25" fillId="0" borderId="9" xfId="0" applyFont="1" applyBorder="1"/>
    <xf numFmtId="168" fontId="0" fillId="0" borderId="9" xfId="0" applyNumberFormat="1" applyBorder="1"/>
    <xf numFmtId="3" fontId="9" fillId="0" borderId="9" xfId="0" applyNumberFormat="1" applyFont="1" applyBorder="1"/>
    <xf numFmtId="3" fontId="10" fillId="0" borderId="9" xfId="0" applyNumberFormat="1" applyFont="1" applyBorder="1"/>
    <xf numFmtId="0" fontId="0" fillId="0" borderId="0" xfId="0" applyBorder="1"/>
    <xf numFmtId="3" fontId="0" fillId="0" borderId="0" xfId="0" applyNumberFormat="1" applyBorder="1"/>
    <xf numFmtId="3" fontId="0" fillId="0" borderId="10" xfId="0" applyNumberFormat="1" applyBorder="1"/>
    <xf numFmtId="168" fontId="0" fillId="0" borderId="10" xfId="0" applyNumberFormat="1" applyBorder="1"/>
    <xf numFmtId="3" fontId="9" fillId="0" borderId="10" xfId="0" applyNumberFormat="1" applyFont="1" applyBorder="1"/>
    <xf numFmtId="3" fontId="10" fillId="0" borderId="10" xfId="0" applyNumberFormat="1" applyFont="1" applyBorder="1"/>
    <xf numFmtId="3" fontId="3" fillId="0" borderId="10" xfId="0" applyNumberFormat="1" applyFont="1" applyBorder="1"/>
    <xf numFmtId="3" fontId="3" fillId="0" borderId="0" xfId="0" applyNumberFormat="1" applyFont="1" applyBorder="1"/>
    <xf numFmtId="0" fontId="25" fillId="0" borderId="0" xfId="0" applyFont="1" applyBorder="1"/>
    <xf numFmtId="168" fontId="0" fillId="0" borderId="0" xfId="0" applyNumberFormat="1" applyBorder="1"/>
    <xf numFmtId="3" fontId="9" fillId="0" borderId="0" xfId="0" applyNumberFormat="1" applyFont="1" applyBorder="1"/>
    <xf numFmtId="3" fontId="10" fillId="0" borderId="0" xfId="0" applyNumberFormat="1" applyFont="1" applyBorder="1"/>
    <xf numFmtId="0" fontId="3" fillId="0" borderId="11" xfId="0" applyFont="1" applyBorder="1"/>
    <xf numFmtId="166" fontId="9" fillId="0" borderId="0" xfId="3" applyNumberFormat="1" applyFont="1"/>
    <xf numFmtId="3" fontId="0" fillId="11" borderId="1" xfId="0" applyNumberFormat="1" applyFill="1" applyBorder="1"/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168" fontId="0" fillId="11" borderId="1" xfId="0" applyNumberFormat="1" applyFill="1" applyBorder="1"/>
    <xf numFmtId="3" fontId="9" fillId="11" borderId="1" xfId="0" applyNumberFormat="1" applyFont="1" applyFill="1" applyBorder="1"/>
    <xf numFmtId="9" fontId="0" fillId="11" borderId="1" xfId="0" applyNumberFormat="1" applyFill="1" applyBorder="1"/>
    <xf numFmtId="3" fontId="9" fillId="11" borderId="1" xfId="0" applyNumberFormat="1" applyFont="1" applyFill="1" applyBorder="1" applyAlignment="1">
      <alignment horizontal="right"/>
    </xf>
    <xf numFmtId="0" fontId="0" fillId="14" borderId="1" xfId="0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2" fontId="0" fillId="14" borderId="1" xfId="0" applyNumberFormat="1" applyFill="1" applyBorder="1"/>
    <xf numFmtId="168" fontId="0" fillId="14" borderId="1" xfId="0" applyNumberFormat="1" applyFill="1" applyBorder="1"/>
    <xf numFmtId="3" fontId="9" fillId="14" borderId="1" xfId="0" applyNumberFormat="1" applyFont="1" applyFill="1" applyBorder="1"/>
    <xf numFmtId="3" fontId="9" fillId="14" borderId="12" xfId="0" applyNumberFormat="1" applyFont="1" applyFill="1" applyBorder="1" applyAlignment="1">
      <alignment horizontal="right"/>
    </xf>
    <xf numFmtId="0" fontId="3" fillId="14" borderId="12" xfId="0" applyFont="1" applyFill="1" applyBorder="1" applyAlignment="1">
      <alignment vertical="top" wrapText="1"/>
    </xf>
    <xf numFmtId="164" fontId="0" fillId="14" borderId="1" xfId="0" applyNumberFormat="1" applyFill="1" applyBorder="1"/>
    <xf numFmtId="0" fontId="0" fillId="15" borderId="1" xfId="0" applyFill="1" applyBorder="1" applyAlignment="1">
      <alignment vertical="top" wrapText="1"/>
    </xf>
    <xf numFmtId="0" fontId="9" fillId="15" borderId="1" xfId="0" applyFont="1" applyFill="1" applyBorder="1" applyAlignment="1">
      <alignment vertical="top" wrapText="1"/>
    </xf>
    <xf numFmtId="2" fontId="0" fillId="15" borderId="1" xfId="0" applyNumberFormat="1" applyFill="1" applyBorder="1"/>
    <xf numFmtId="168" fontId="0" fillId="15" borderId="1" xfId="0" applyNumberFormat="1" applyFill="1" applyBorder="1"/>
    <xf numFmtId="3" fontId="9" fillId="15" borderId="1" xfId="0" applyNumberFormat="1" applyFont="1" applyFill="1" applyBorder="1"/>
    <xf numFmtId="3" fontId="0" fillId="0" borderId="18" xfId="0" applyNumberFormat="1" applyBorder="1"/>
    <xf numFmtId="3" fontId="0" fillId="0" borderId="19" xfId="0" applyNumberFormat="1" applyBorder="1"/>
    <xf numFmtId="0" fontId="0" fillId="0" borderId="1" xfId="0" applyBorder="1" applyAlignment="1">
      <alignment horizontal="left" vertical="top" wrapText="1"/>
    </xf>
    <xf numFmtId="40" fontId="0" fillId="0" borderId="0" xfId="0" applyNumberFormat="1"/>
    <xf numFmtId="40" fontId="29" fillId="16" borderId="1" xfId="0" applyNumberFormat="1" applyFont="1" applyFill="1" applyBorder="1" applyAlignment="1">
      <alignment horizontal="right" vertical="center"/>
    </xf>
    <xf numFmtId="166" fontId="0" fillId="0" borderId="1" xfId="3" applyNumberFormat="1" applyFont="1" applyBorder="1"/>
    <xf numFmtId="0" fontId="0" fillId="0" borderId="0" xfId="0" applyBorder="1" applyAlignment="1">
      <alignment horizontal="center"/>
    </xf>
    <xf numFmtId="0" fontId="35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9" fillId="0" borderId="1" xfId="0" applyFont="1" applyBorder="1" applyAlignment="1">
      <alignment horizontal="left" vertical="top" wrapText="1"/>
    </xf>
    <xf numFmtId="0" fontId="37" fillId="17" borderId="1" xfId="0" applyFont="1" applyFill="1" applyBorder="1" applyAlignment="1">
      <alignment vertical="top" wrapText="1"/>
    </xf>
    <xf numFmtId="0" fontId="3" fillId="7" borderId="1" xfId="0" applyFont="1" applyFill="1" applyBorder="1" applyAlignment="1" applyProtection="1">
      <alignment horizontal="center" vertical="top" wrapText="1"/>
      <protection locked="0"/>
    </xf>
    <xf numFmtId="0" fontId="3" fillId="12" borderId="1" xfId="0" applyFont="1" applyFill="1" applyBorder="1" applyAlignment="1">
      <alignment horizontal="center" vertical="top" wrapText="1"/>
    </xf>
    <xf numFmtId="0" fontId="40" fillId="12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 wrapText="1"/>
    </xf>
    <xf numFmtId="3" fontId="42" fillId="19" borderId="1" xfId="0" applyNumberFormat="1" applyFont="1" applyFill="1" applyBorder="1" applyAlignment="1">
      <alignment horizontal="right" vertical="top" wrapText="1"/>
    </xf>
    <xf numFmtId="4" fontId="0" fillId="14" borderId="1" xfId="0" applyNumberFormat="1" applyFill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vertical="top"/>
    </xf>
    <xf numFmtId="0" fontId="43" fillId="0" borderId="1" xfId="0" applyFont="1" applyBorder="1" applyAlignment="1">
      <alignment horizontal="left" vertical="top" wrapText="1"/>
    </xf>
    <xf numFmtId="3" fontId="3" fillId="14" borderId="1" xfId="0" applyNumberFormat="1" applyFont="1" applyFill="1" applyBorder="1" applyAlignment="1" applyProtection="1">
      <alignment horizontal="right" vertical="top" wrapText="1"/>
      <protection locked="0"/>
    </xf>
    <xf numFmtId="9" fontId="44" fillId="14" borderId="1" xfId="0" applyNumberFormat="1" applyFont="1" applyFill="1" applyBorder="1" applyAlignment="1" applyProtection="1">
      <alignment horizontal="right" vertical="top" wrapText="1"/>
      <protection locked="0"/>
    </xf>
    <xf numFmtId="3" fontId="45" fillId="14" borderId="1" xfId="0" applyNumberFormat="1" applyFont="1" applyFill="1" applyBorder="1" applyAlignment="1" applyProtection="1">
      <alignment horizontal="right" vertical="top" wrapText="1"/>
      <protection locked="0"/>
    </xf>
    <xf numFmtId="4" fontId="3" fillId="14" borderId="1" xfId="0" applyNumberFormat="1" applyFont="1" applyFill="1" applyBorder="1" applyAlignment="1" applyProtection="1">
      <alignment horizontal="right" vertical="top" wrapText="1"/>
      <protection locked="0"/>
    </xf>
    <xf numFmtId="4" fontId="3" fillId="16" borderId="1" xfId="0" applyNumberFormat="1" applyFont="1" applyFill="1" applyBorder="1" applyAlignment="1">
      <alignment horizontal="right" vertical="top"/>
    </xf>
    <xf numFmtId="4" fontId="3" fillId="14" borderId="1" xfId="0" applyNumberFormat="1" applyFont="1" applyFill="1" applyBorder="1" applyAlignment="1" applyProtection="1">
      <alignment horizontal="right" vertical="top"/>
      <protection locked="0"/>
    </xf>
    <xf numFmtId="40" fontId="3" fillId="16" borderId="1" xfId="0" applyNumberFormat="1" applyFont="1" applyFill="1" applyBorder="1" applyAlignment="1">
      <alignment horizontal="right" vertical="top"/>
    </xf>
    <xf numFmtId="4" fontId="3" fillId="18" borderId="1" xfId="0" applyNumberFormat="1" applyFont="1" applyFill="1" applyBorder="1" applyAlignment="1" applyProtection="1">
      <alignment horizontal="right" vertical="top" wrapText="1"/>
      <protection locked="0"/>
    </xf>
    <xf numFmtId="40" fontId="29" fillId="16" borderId="1" xfId="0" applyNumberFormat="1" applyFont="1" applyFill="1" applyBorder="1" applyAlignment="1">
      <alignment horizontal="right" vertical="top"/>
    </xf>
    <xf numFmtId="40" fontId="3" fillId="2" borderId="1" xfId="0" applyNumberFormat="1" applyFont="1" applyFill="1" applyBorder="1" applyAlignment="1">
      <alignment horizontal="right" vertical="top"/>
    </xf>
    <xf numFmtId="4" fontId="3" fillId="14" borderId="1" xfId="0" applyNumberFormat="1" applyFont="1" applyFill="1" applyBorder="1" applyAlignment="1" applyProtection="1">
      <alignment horizontal="center" vertical="top" wrapText="1"/>
      <protection locked="0"/>
    </xf>
    <xf numFmtId="3" fontId="0" fillId="14" borderId="1" xfId="0" applyNumberFormat="1" applyFill="1" applyBorder="1" applyAlignment="1" applyProtection="1">
      <alignment horizontal="right" vertical="top" wrapText="1"/>
      <protection locked="0"/>
    </xf>
    <xf numFmtId="3" fontId="46" fillId="14" borderId="1" xfId="0" applyNumberFormat="1" applyFont="1" applyFill="1" applyBorder="1" applyAlignment="1" applyProtection="1">
      <alignment horizontal="right" vertical="top" wrapText="1"/>
      <protection locked="0"/>
    </xf>
    <xf numFmtId="3" fontId="47" fillId="14" borderId="1" xfId="0" applyNumberFormat="1" applyFont="1" applyFill="1" applyBorder="1" applyAlignment="1" applyProtection="1">
      <alignment horizontal="right" vertical="top" wrapText="1"/>
      <protection locked="0"/>
    </xf>
    <xf numFmtId="4" fontId="0" fillId="14" borderId="1" xfId="0" applyNumberFormat="1" applyFill="1" applyBorder="1" applyAlignment="1" applyProtection="1">
      <alignment horizontal="right" vertical="top" wrapText="1"/>
      <protection locked="0"/>
    </xf>
    <xf numFmtId="4" fontId="0" fillId="16" borderId="1" xfId="0" applyNumberFormat="1" applyFill="1" applyBorder="1" applyAlignment="1">
      <alignment horizontal="right" vertical="top"/>
    </xf>
    <xf numFmtId="4" fontId="0" fillId="14" borderId="1" xfId="0" applyNumberFormat="1" applyFill="1" applyBorder="1" applyAlignment="1" applyProtection="1">
      <alignment horizontal="right" vertical="top"/>
      <protection locked="0"/>
    </xf>
    <xf numFmtId="40" fontId="0" fillId="16" borderId="1" xfId="0" applyNumberFormat="1" applyFill="1" applyBorder="1" applyAlignment="1">
      <alignment horizontal="right" vertical="top"/>
    </xf>
    <xf numFmtId="0" fontId="42" fillId="19" borderId="0" xfId="0" applyFont="1" applyFill="1" applyAlignment="1">
      <alignment vertical="top"/>
    </xf>
    <xf numFmtId="3" fontId="48" fillId="20" borderId="1" xfId="0" applyNumberFormat="1" applyFont="1" applyFill="1" applyBorder="1" applyAlignment="1">
      <alignment horizontal="right" vertical="top" wrapText="1"/>
    </xf>
    <xf numFmtId="3" fontId="44" fillId="14" borderId="1" xfId="0" applyNumberFormat="1" applyFont="1" applyFill="1" applyBorder="1" applyAlignment="1" applyProtection="1">
      <alignment horizontal="right" vertical="top" wrapText="1"/>
      <protection locked="0"/>
    </xf>
    <xf numFmtId="40" fontId="47" fillId="14" borderId="1" xfId="0" applyNumberFormat="1" applyFont="1" applyFill="1" applyBorder="1" applyAlignment="1" applyProtection="1">
      <alignment horizontal="right" vertical="top" wrapText="1"/>
      <protection locked="0"/>
    </xf>
    <xf numFmtId="4" fontId="49" fillId="16" borderId="1" xfId="0" applyNumberFormat="1" applyFont="1" applyFill="1" applyBorder="1" applyAlignment="1">
      <alignment horizontal="right" vertical="top"/>
    </xf>
    <xf numFmtId="4" fontId="29" fillId="16" borderId="1" xfId="0" applyNumberFormat="1" applyFont="1" applyFill="1" applyBorder="1" applyAlignment="1">
      <alignment horizontal="right" vertical="top"/>
    </xf>
    <xf numFmtId="4" fontId="29" fillId="14" borderId="1" xfId="0" applyNumberFormat="1" applyFont="1" applyFill="1" applyBorder="1" applyAlignment="1" applyProtection="1">
      <alignment horizontal="right" vertical="top"/>
      <protection locked="0"/>
    </xf>
    <xf numFmtId="40" fontId="3" fillId="14" borderId="1" xfId="0" applyNumberFormat="1" applyFont="1" applyFill="1" applyBorder="1" applyAlignment="1" applyProtection="1">
      <alignment horizontal="right" vertical="top" wrapText="1"/>
      <protection locked="0"/>
    </xf>
    <xf numFmtId="4" fontId="49" fillId="14" borderId="1" xfId="0" applyNumberFormat="1" applyFont="1" applyFill="1" applyBorder="1" applyAlignment="1" applyProtection="1">
      <alignment horizontal="center" vertical="top" wrapText="1"/>
      <protection locked="0"/>
    </xf>
    <xf numFmtId="0" fontId="48" fillId="20" borderId="1" xfId="0" applyFont="1" applyFill="1" applyBorder="1" applyAlignment="1">
      <alignment horizontal="left" vertical="top" wrapText="1"/>
    </xf>
    <xf numFmtId="0" fontId="41" fillId="2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1" applyAlignment="1" applyProtection="1">
      <alignment vertical="top"/>
      <protection locked="0"/>
    </xf>
    <xf numFmtId="4" fontId="2" fillId="0" borderId="0" xfId="1" applyNumberFormat="1" applyAlignment="1" applyProtection="1">
      <alignment vertical="top"/>
      <protection locked="0"/>
    </xf>
    <xf numFmtId="0" fontId="2" fillId="18" borderId="0" xfId="1" applyFill="1" applyAlignment="1" applyProtection="1">
      <alignment vertical="top"/>
      <protection locked="0"/>
    </xf>
    <xf numFmtId="0" fontId="2" fillId="0" borderId="0" xfId="1" applyAlignment="1" applyProtection="1">
      <alignment vertical="top" wrapText="1"/>
      <protection locked="0"/>
    </xf>
    <xf numFmtId="0" fontId="35" fillId="0" borderId="0" xfId="0" applyFont="1" applyAlignment="1">
      <alignment horizontal="left" vertical="top"/>
    </xf>
    <xf numFmtId="0" fontId="0" fillId="0" borderId="0" xfId="0" applyAlignment="1">
      <alignment horizontal="center" vertical="top" wrapText="1"/>
    </xf>
    <xf numFmtId="0" fontId="50" fillId="0" borderId="0" xfId="0" applyFont="1"/>
    <xf numFmtId="0" fontId="51" fillId="0" borderId="0" xfId="0" applyFont="1"/>
    <xf numFmtId="0" fontId="50" fillId="0" borderId="0" xfId="0" applyFont="1" applyAlignment="1">
      <alignment wrapText="1"/>
    </xf>
    <xf numFmtId="41" fontId="5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50" fillId="0" borderId="0" xfId="0" applyNumberFormat="1" applyFont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65" fontId="56" fillId="0" borderId="1" xfId="0" applyNumberFormat="1" applyFont="1" applyBorder="1" applyAlignment="1">
      <alignment horizontal="center" vertical="center"/>
    </xf>
    <xf numFmtId="168" fontId="0" fillId="0" borderId="0" xfId="6" applyNumberFormat="1" applyFont="1" applyFill="1"/>
    <xf numFmtId="168" fontId="19" fillId="0" borderId="0" xfId="6" applyNumberFormat="1" applyFont="1" applyFill="1"/>
    <xf numFmtId="0" fontId="51" fillId="0" borderId="1" xfId="0" applyFont="1" applyBorder="1"/>
    <xf numFmtId="0" fontId="51" fillId="0" borderId="5" xfId="0" applyFont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/>
    </xf>
    <xf numFmtId="3" fontId="53" fillId="2" borderId="1" xfId="0" applyNumberFormat="1" applyFont="1" applyFill="1" applyBorder="1" applyAlignment="1">
      <alignment horizontal="center" vertical="center"/>
    </xf>
    <xf numFmtId="0" fontId="50" fillId="21" borderId="1" xfId="0" applyFont="1" applyFill="1" applyBorder="1"/>
    <xf numFmtId="0" fontId="51" fillId="21" borderId="1" xfId="0" applyFont="1" applyFill="1" applyBorder="1"/>
    <xf numFmtId="0" fontId="51" fillId="21" borderId="5" xfId="0" applyFont="1" applyFill="1" applyBorder="1" applyAlignment="1">
      <alignment horizontal="center" vertical="center"/>
    </xf>
    <xf numFmtId="3" fontId="57" fillId="21" borderId="1" xfId="0" applyNumberFormat="1" applyFont="1" applyFill="1" applyBorder="1" applyAlignment="1">
      <alignment horizontal="center" vertical="center"/>
    </xf>
    <xf numFmtId="9" fontId="57" fillId="22" borderId="1" xfId="0" applyNumberFormat="1" applyFont="1" applyFill="1" applyBorder="1" applyAlignment="1">
      <alignment horizontal="center" vertical="center" wrapText="1"/>
    </xf>
    <xf numFmtId="165" fontId="53" fillId="22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1" fontId="58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4" fillId="2" borderId="1" xfId="0" applyFont="1" applyFill="1" applyBorder="1" applyAlignment="1">
      <alignment vertical="center" wrapText="1"/>
    </xf>
    <xf numFmtId="0" fontId="54" fillId="0" borderId="0" xfId="0" applyFont="1" applyAlignment="1">
      <alignment horizontal="center" vertical="center" wrapText="1"/>
    </xf>
    <xf numFmtId="3" fontId="3" fillId="0" borderId="1" xfId="0" applyNumberFormat="1" applyFont="1" applyBorder="1"/>
    <xf numFmtId="167" fontId="0" fillId="0" borderId="1" xfId="0" applyNumberFormat="1" applyBorder="1"/>
    <xf numFmtId="9" fontId="0" fillId="0" borderId="1" xfId="0" applyNumberFormat="1" applyBorder="1"/>
    <xf numFmtId="3" fontId="3" fillId="0" borderId="0" xfId="0" applyNumberFormat="1" applyFont="1"/>
    <xf numFmtId="9" fontId="58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" fontId="58" fillId="0" borderId="0" xfId="6" applyNumberFormat="1" applyFont="1" applyFill="1" applyAlignment="1">
      <alignment horizontal="center" vertical="center"/>
    </xf>
    <xf numFmtId="1" fontId="59" fillId="0" borderId="0" xfId="0" applyNumberFormat="1" applyFont="1" applyAlignment="1">
      <alignment horizontal="center" vertical="center"/>
    </xf>
    <xf numFmtId="1" fontId="58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3" fontId="0" fillId="0" borderId="17" xfId="0" applyNumberFormat="1" applyBorder="1"/>
    <xf numFmtId="0" fontId="0" fillId="0" borderId="18" xfId="0" applyBorder="1" applyAlignment="1">
      <alignment vertical="top" wrapText="1"/>
    </xf>
    <xf numFmtId="0" fontId="35" fillId="0" borderId="19" xfId="0" applyFont="1" applyBorder="1" applyAlignment="1">
      <alignment horizontal="left" vertical="top" wrapText="1"/>
    </xf>
    <xf numFmtId="0" fontId="0" fillId="0" borderId="19" xfId="0" applyBorder="1"/>
    <xf numFmtId="3" fontId="3" fillId="0" borderId="19" xfId="0" applyNumberFormat="1" applyFont="1" applyBorder="1"/>
    <xf numFmtId="3" fontId="0" fillId="0" borderId="20" xfId="0" applyNumberFormat="1" applyBorder="1"/>
    <xf numFmtId="3" fontId="3" fillId="0" borderId="2" xfId="0" applyNumberFormat="1" applyFont="1" applyBorder="1"/>
    <xf numFmtId="0" fontId="0" fillId="0" borderId="16" xfId="0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68" fontId="0" fillId="0" borderId="16" xfId="0" applyNumberFormat="1" applyBorder="1"/>
    <xf numFmtId="3" fontId="3" fillId="0" borderId="17" xfId="0" applyNumberFormat="1" applyFont="1" applyBorder="1"/>
    <xf numFmtId="168" fontId="0" fillId="0" borderId="18" xfId="0" applyNumberFormat="1" applyBorder="1"/>
    <xf numFmtId="167" fontId="0" fillId="0" borderId="19" xfId="0" applyNumberFormat="1" applyBorder="1"/>
    <xf numFmtId="3" fontId="3" fillId="0" borderId="20" xfId="0" applyNumberFormat="1" applyFont="1" applyBorder="1"/>
    <xf numFmtId="3" fontId="0" fillId="0" borderId="16" xfId="0" applyNumberFormat="1" applyBorder="1"/>
    <xf numFmtId="168" fontId="0" fillId="0" borderId="19" xfId="0" applyNumberFormat="1" applyBorder="1"/>
    <xf numFmtId="165" fontId="0" fillId="0" borderId="19" xfId="0" applyNumberFormat="1" applyBorder="1"/>
    <xf numFmtId="3" fontId="3" fillId="0" borderId="3" xfId="0" applyNumberFormat="1" applyFont="1" applyBorder="1"/>
    <xf numFmtId="3" fontId="3" fillId="0" borderId="26" xfId="0" applyNumberFormat="1" applyFont="1" applyBorder="1"/>
    <xf numFmtId="3" fontId="3" fillId="0" borderId="11" xfId="0" applyNumberFormat="1" applyFont="1" applyBorder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9" fontId="0" fillId="0" borderId="19" xfId="0" applyNumberFormat="1" applyBorder="1"/>
    <xf numFmtId="3" fontId="3" fillId="0" borderId="32" xfId="0" applyNumberFormat="1" applyFont="1" applyBorder="1"/>
    <xf numFmtId="3" fontId="3" fillId="0" borderId="33" xfId="0" applyNumberFormat="1" applyFont="1" applyBorder="1"/>
    <xf numFmtId="0" fontId="0" fillId="0" borderId="24" xfId="0" applyBorder="1"/>
    <xf numFmtId="3" fontId="0" fillId="0" borderId="31" xfId="0" applyNumberFormat="1" applyBorder="1"/>
    <xf numFmtId="3" fontId="0" fillId="0" borderId="24" xfId="3" applyNumberFormat="1" applyFont="1" applyBorder="1"/>
    <xf numFmtId="0" fontId="17" fillId="0" borderId="30" xfId="0" applyFont="1" applyBorder="1"/>
    <xf numFmtId="3" fontId="17" fillId="0" borderId="24" xfId="0" applyNumberFormat="1" applyFont="1" applyBorder="1"/>
    <xf numFmtId="3" fontId="3" fillId="2" borderId="31" xfId="0" applyNumberFormat="1" applyFont="1" applyFill="1" applyBorder="1"/>
    <xf numFmtId="3" fontId="3" fillId="2" borderId="24" xfId="0" applyNumberFormat="1" applyFont="1" applyFill="1" applyBorder="1"/>
    <xf numFmtId="40" fontId="3" fillId="14" borderId="1" xfId="0" applyNumberFormat="1" applyFont="1" applyFill="1" applyBorder="1" applyAlignment="1">
      <alignment horizontal="right" vertical="top"/>
    </xf>
    <xf numFmtId="0" fontId="60" fillId="0" borderId="2" xfId="0" applyFont="1" applyFill="1" applyBorder="1" applyAlignment="1">
      <alignment vertical="top" wrapText="1"/>
    </xf>
    <xf numFmtId="40" fontId="0" fillId="2" borderId="1" xfId="0" applyNumberFormat="1" applyFill="1" applyBorder="1" applyAlignment="1">
      <alignment horizontal="right" vertical="top"/>
    </xf>
    <xf numFmtId="4" fontId="3" fillId="0" borderId="0" xfId="0" applyNumberFormat="1" applyFont="1" applyAlignment="1">
      <alignment vertical="top"/>
    </xf>
    <xf numFmtId="0" fontId="0" fillId="0" borderId="1" xfId="0" applyFill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168" fontId="0" fillId="0" borderId="1" xfId="0" applyNumberFormat="1" applyFill="1" applyBorder="1"/>
    <xf numFmtId="170" fontId="29" fillId="0" borderId="1" xfId="0" applyNumberFormat="1" applyFont="1" applyFill="1" applyBorder="1"/>
    <xf numFmtId="0" fontId="58" fillId="0" borderId="1" xfId="0" applyFont="1" applyFill="1" applyBorder="1" applyAlignment="1">
      <alignment horizontal="left" vertical="top" wrapText="1"/>
    </xf>
    <xf numFmtId="9" fontId="0" fillId="0" borderId="1" xfId="6" applyFont="1" applyFill="1" applyBorder="1"/>
    <xf numFmtId="3" fontId="0" fillId="0" borderId="2" xfId="0" applyNumberFormat="1" applyFill="1" applyBorder="1"/>
    <xf numFmtId="0" fontId="35" fillId="0" borderId="1" xfId="0" applyFont="1" applyFill="1" applyBorder="1" applyAlignment="1">
      <alignment horizontal="left" vertical="top" wrapText="1"/>
    </xf>
    <xf numFmtId="3" fontId="0" fillId="0" borderId="2" xfId="0" applyNumberFormat="1" applyFill="1" applyBorder="1" applyAlignment="1">
      <alignment horizontal="right"/>
    </xf>
    <xf numFmtId="166" fontId="0" fillId="0" borderId="0" xfId="0" applyNumberFormat="1" applyFill="1"/>
    <xf numFmtId="171" fontId="0" fillId="0" borderId="0" xfId="0" applyNumberFormat="1" applyFill="1"/>
    <xf numFmtId="0" fontId="0" fillId="0" borderId="0" xfId="0" applyFill="1" applyAlignment="1">
      <alignment vertical="top" wrapText="1"/>
    </xf>
    <xf numFmtId="0" fontId="9" fillId="0" borderId="5" xfId="0" applyFont="1" applyFill="1" applyBorder="1" applyAlignment="1">
      <alignment vertical="top" wrapText="1"/>
    </xf>
    <xf numFmtId="3" fontId="9" fillId="0" borderId="5" xfId="0" applyNumberFormat="1" applyFont="1" applyFill="1" applyBorder="1"/>
    <xf numFmtId="170" fontId="9" fillId="0" borderId="1" xfId="0" applyNumberFormat="1" applyFont="1" applyFill="1" applyBorder="1"/>
    <xf numFmtId="4" fontId="0" fillId="0" borderId="1" xfId="0" applyNumberFormat="1" applyFill="1" applyBorder="1"/>
    <xf numFmtId="0" fontId="33" fillId="0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 applyProtection="1">
      <alignment horizontal="center" vertical="top" wrapText="1"/>
      <protection locked="0"/>
    </xf>
    <xf numFmtId="0" fontId="3" fillId="12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left" vertical="center"/>
    </xf>
    <xf numFmtId="170" fontId="3" fillId="0" borderId="1" xfId="0" applyNumberFormat="1" applyFont="1" applyFill="1" applyBorder="1"/>
    <xf numFmtId="166" fontId="3" fillId="0" borderId="1" xfId="0" applyNumberFormat="1" applyFont="1" applyFill="1" applyBorder="1"/>
    <xf numFmtId="10" fontId="3" fillId="0" borderId="1" xfId="0" applyNumberFormat="1" applyFont="1" applyFill="1" applyBorder="1"/>
    <xf numFmtId="169" fontId="0" fillId="0" borderId="1" xfId="0" applyNumberFormat="1" applyFill="1" applyBorder="1"/>
    <xf numFmtId="166" fontId="0" fillId="0" borderId="1" xfId="3" applyNumberFormat="1" applyFont="1" applyFill="1" applyBorder="1"/>
    <xf numFmtId="166" fontId="0" fillId="0" borderId="1" xfId="0" applyNumberFormat="1" applyFill="1" applyBorder="1"/>
    <xf numFmtId="40" fontId="0" fillId="0" borderId="1" xfId="0" applyNumberFormat="1" applyFill="1" applyBorder="1"/>
    <xf numFmtId="0" fontId="3" fillId="0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13" borderId="6" xfId="0" applyFont="1" applyFill="1" applyBorder="1" applyAlignment="1">
      <alignment horizontal="center" vertical="top" wrapText="1"/>
    </xf>
    <xf numFmtId="0" fontId="3" fillId="13" borderId="7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5" borderId="3" xfId="0" applyFont="1" applyFill="1" applyBorder="1" applyAlignment="1">
      <alignment horizontal="center" vertical="top" wrapText="1"/>
    </xf>
    <xf numFmtId="0" fontId="3" fillId="15" borderId="4" xfId="0" applyFont="1" applyFill="1" applyBorder="1" applyAlignment="1">
      <alignment horizontal="center" vertical="top" wrapText="1"/>
    </xf>
    <xf numFmtId="0" fontId="3" fillId="15" borderId="5" xfId="0" applyFont="1" applyFill="1" applyBorder="1" applyAlignment="1">
      <alignment horizontal="center" vertical="top" wrapText="1"/>
    </xf>
    <xf numFmtId="0" fontId="29" fillId="13" borderId="6" xfId="0" applyFont="1" applyFill="1" applyBorder="1" applyAlignment="1">
      <alignment horizontal="center" vertical="top" wrapText="1"/>
    </xf>
    <xf numFmtId="0" fontId="29" fillId="13" borderId="7" xfId="0" applyFont="1" applyFill="1" applyBorder="1" applyAlignment="1">
      <alignment horizontal="center" vertical="top" wrapText="1"/>
    </xf>
    <xf numFmtId="0" fontId="29" fillId="13" borderId="2" xfId="0" applyFont="1" applyFill="1" applyBorder="1" applyAlignment="1">
      <alignment horizontal="center" vertical="top" wrapText="1"/>
    </xf>
    <xf numFmtId="0" fontId="32" fillId="2" borderId="6" xfId="0" applyFont="1" applyFill="1" applyBorder="1" applyAlignment="1">
      <alignment horizontal="center" vertical="top" wrapText="1"/>
    </xf>
    <xf numFmtId="0" fontId="32" fillId="2" borderId="7" xfId="0" applyFont="1" applyFill="1" applyBorder="1" applyAlignment="1">
      <alignment horizontal="center" vertical="top" wrapText="1"/>
    </xf>
    <xf numFmtId="0" fontId="32" fillId="2" borderId="2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29" fillId="0" borderId="6" xfId="0" applyFont="1" applyFill="1" applyBorder="1" applyAlignment="1">
      <alignment horizontal="center" vertical="top" wrapText="1"/>
    </xf>
    <xf numFmtId="0" fontId="29" fillId="0" borderId="7" xfId="0" applyFont="1" applyFill="1" applyBorder="1" applyAlignment="1">
      <alignment horizontal="center" vertical="top" wrapText="1"/>
    </xf>
    <xf numFmtId="0" fontId="29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3" fillId="14" borderId="5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 readingOrder="1"/>
    </xf>
    <xf numFmtId="0" fontId="5" fillId="7" borderId="1" xfId="0" applyFont="1" applyFill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right" vertical="top" wrapText="1" readingOrder="1"/>
    </xf>
    <xf numFmtId="0" fontId="7" fillId="7" borderId="6" xfId="0" applyFont="1" applyFill="1" applyBorder="1" applyAlignment="1">
      <alignment horizontal="center" vertical="top" wrapText="1" readingOrder="1"/>
    </xf>
    <xf numFmtId="0" fontId="7" fillId="7" borderId="2" xfId="0" applyFont="1" applyFill="1" applyBorder="1" applyAlignment="1">
      <alignment horizontal="center" vertical="top" wrapText="1" readingOrder="1"/>
    </xf>
    <xf numFmtId="0" fontId="8" fillId="7" borderId="6" xfId="0" applyFont="1" applyFill="1" applyBorder="1" applyAlignment="1">
      <alignment horizontal="center" vertical="top" wrapText="1" readingOrder="1"/>
    </xf>
    <xf numFmtId="0" fontId="8" fillId="7" borderId="2" xfId="0" applyFont="1" applyFill="1" applyBorder="1" applyAlignment="1">
      <alignment horizontal="center" vertical="top" wrapText="1" readingOrder="1"/>
    </xf>
    <xf numFmtId="9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/>
    </xf>
    <xf numFmtId="0" fontId="3" fillId="0" borderId="8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10" fillId="0" borderId="6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33" fillId="0" borderId="1" xfId="0" applyFont="1" applyFill="1" applyBorder="1" applyAlignment="1">
      <alignment horizontal="center" vertical="top" wrapText="1"/>
    </xf>
    <xf numFmtId="0" fontId="52" fillId="2" borderId="1" xfId="0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172" fontId="27" fillId="0" borderId="1" xfId="0" applyNumberFormat="1" applyFont="1" applyBorder="1" applyAlignment="1">
      <alignment horizontal="center" vertical="center"/>
    </xf>
    <xf numFmtId="0" fontId="56" fillId="21" borderId="1" xfId="0" applyFont="1" applyFill="1" applyBorder="1" applyAlignment="1">
      <alignment horizontal="center" vertical="center" wrapText="1"/>
    </xf>
    <xf numFmtId="0" fontId="56" fillId="21" borderId="1" xfId="0" applyFont="1" applyFill="1" applyBorder="1" applyAlignment="1">
      <alignment horizontal="center" vertical="center"/>
    </xf>
    <xf numFmtId="9" fontId="56" fillId="0" borderId="1" xfId="0" applyNumberFormat="1" applyFont="1" applyBorder="1" applyAlignment="1">
      <alignment horizontal="center" vertical="center"/>
    </xf>
    <xf numFmtId="172" fontId="56" fillId="0" borderId="1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top" wrapText="1"/>
    </xf>
    <xf numFmtId="0" fontId="18" fillId="0" borderId="30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3" fillId="21" borderId="6" xfId="0" applyFont="1" applyFill="1" applyBorder="1" applyAlignment="1">
      <alignment horizontal="center" vertical="center" wrapText="1"/>
    </xf>
    <xf numFmtId="0" fontId="53" fillId="21" borderId="2" xfId="0" applyFont="1" applyFill="1" applyBorder="1" applyAlignment="1">
      <alignment horizontal="center" vertical="center" wrapText="1"/>
    </xf>
    <xf numFmtId="9" fontId="53" fillId="22" borderId="8" xfId="0" applyNumberFormat="1" applyFont="1" applyFill="1" applyBorder="1" applyAlignment="1">
      <alignment horizontal="center" vertical="center"/>
    </xf>
    <xf numFmtId="9" fontId="53" fillId="22" borderId="11" xfId="0" applyNumberFormat="1" applyFont="1" applyFill="1" applyBorder="1" applyAlignment="1">
      <alignment horizontal="center" vertical="center"/>
    </xf>
    <xf numFmtId="173" fontId="53" fillId="22" borderId="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41" fillId="19" borderId="3" xfId="0" applyFont="1" applyFill="1" applyBorder="1" applyAlignment="1">
      <alignment horizontal="center" vertical="top" wrapText="1"/>
    </xf>
    <xf numFmtId="0" fontId="41" fillId="19" borderId="5" xfId="0" applyFont="1" applyFill="1" applyBorder="1" applyAlignment="1">
      <alignment horizontal="center" vertical="top" wrapText="1"/>
    </xf>
    <xf numFmtId="40" fontId="3" fillId="18" borderId="1" xfId="0" applyNumberFormat="1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 applyProtection="1">
      <alignment horizontal="center" vertical="top" wrapText="1"/>
      <protection locked="0"/>
    </xf>
    <xf numFmtId="0" fontId="3" fillId="18" borderId="1" xfId="0" applyFont="1" applyFill="1" applyBorder="1" applyAlignment="1">
      <alignment horizontal="center" vertical="top" wrapText="1"/>
    </xf>
    <xf numFmtId="0" fontId="38" fillId="17" borderId="1" xfId="0" applyFont="1" applyFill="1" applyBorder="1" applyAlignment="1">
      <alignment horizontal="center" vertical="top" wrapText="1"/>
    </xf>
    <xf numFmtId="40" fontId="29" fillId="17" borderId="1" xfId="0" applyNumberFormat="1" applyFont="1" applyFill="1" applyBorder="1" applyAlignment="1">
      <alignment horizontal="center" vertical="top" wrapText="1"/>
    </xf>
    <xf numFmtId="0" fontId="36" fillId="0" borderId="0" xfId="0" applyFont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0" fontId="3" fillId="17" borderId="1" xfId="0" applyFont="1" applyFill="1" applyBorder="1" applyAlignment="1" applyProtection="1">
      <alignment horizontal="center" vertical="top" wrapText="1"/>
      <protection locked="0"/>
    </xf>
    <xf numFmtId="0" fontId="3" fillId="7" borderId="1" xfId="0" applyFont="1" applyFill="1" applyBorder="1" applyAlignment="1" applyProtection="1">
      <alignment horizontal="center" vertical="top" wrapText="1"/>
      <protection locked="0"/>
    </xf>
    <xf numFmtId="0" fontId="3" fillId="12" borderId="1" xfId="0" applyFont="1" applyFill="1" applyBorder="1" applyAlignment="1">
      <alignment horizontal="center" vertical="top" wrapText="1"/>
    </xf>
    <xf numFmtId="4" fontId="3" fillId="17" borderId="1" xfId="0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center" wrapText="1" readingOrder="1"/>
    </xf>
    <xf numFmtId="0" fontId="13" fillId="7" borderId="1" xfId="0" applyFont="1" applyFill="1" applyBorder="1" applyAlignment="1">
      <alignment horizontal="center" vertical="center" wrapText="1" readingOrder="1"/>
    </xf>
    <xf numFmtId="0" fontId="14" fillId="7" borderId="1" xfId="0" applyFont="1" applyFill="1" applyBorder="1" applyAlignment="1">
      <alignment horizontal="center" vertical="center" wrapText="1" readingOrder="1"/>
    </xf>
    <xf numFmtId="0" fontId="15" fillId="7" borderId="1" xfId="0" applyFont="1" applyFill="1" applyBorder="1" applyAlignment="1">
      <alignment horizontal="center" wrapText="1" readingOrder="1"/>
    </xf>
    <xf numFmtId="165" fontId="26" fillId="0" borderId="3" xfId="0" applyNumberFormat="1" applyFont="1" applyBorder="1" applyAlignment="1">
      <alignment horizontal="center" vertical="top" wrapText="1"/>
    </xf>
    <xf numFmtId="165" fontId="26" fillId="0" borderId="4" xfId="0" applyNumberFormat="1" applyFont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7">
    <cellStyle name="Денежный" xfId="4" builtinId="4"/>
    <cellStyle name="Обычный" xfId="0" builtinId="0"/>
    <cellStyle name="Обычный 2" xfId="1"/>
    <cellStyle name="Обычный 3" xfId="5"/>
    <cellStyle name="Процентный" xfId="6" builtinId="5"/>
    <cellStyle name="Финансовый" xfId="3" builtinId="3"/>
    <cellStyle name="Финансовый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CCFFFF"/>
      <color rgb="FF99CC00"/>
      <color rgb="FFFF99CC"/>
      <color rgb="FFCCCCFF"/>
      <color rgb="FF99CCFF"/>
      <color rgb="FFFFCC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public\3%20&#1044;&#1045;&#1055;&#1040;&#1056;&#1058;&#1040;&#1052;&#1045;&#1053;&#1058;%20&#1060;&#1048;&#1053;&#1040;&#1053;&#1057;&#1054;&#1042;\8%20&#1054;&#1058;&#1044;&#1045;&#1051;%20&#1056;&#1040;&#1057;&#1061;&#1054;&#1044;&#1054;&#1042;\4.%20&#1057;&#1077;&#1082;&#1094;&#1080;&#1103;%20&#1079;&#1072;&#1088;&#1072;&#1073;&#1086;&#1090;&#1085;&#1086;&#1081;%20&#1087;&#1083;&#1072;&#1090;&#1099;\&#1047;&#1040;&#1056;&#1055;&#1051;&#1040;&#1058;&#1040;\&#1047;&#1072;&#1088;&#1087;&#1083;&#1072;&#1090;&#1072;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январь24"/>
      <sheetName val="февраль24"/>
      <sheetName val="март24"/>
      <sheetName val="апрель24"/>
      <sheetName val="май24"/>
      <sheetName val="июнь24"/>
      <sheetName val="июль24 "/>
      <sheetName val="август24"/>
      <sheetName val="сентябрь24"/>
      <sheetName val="октябрь24"/>
      <sheetName val="ноябрь24"/>
      <sheetName val="декабрь24"/>
      <sheetName val="СВОД"/>
      <sheetName val="ШР"/>
    </sheetNames>
    <sheetDataSet>
      <sheetData sheetId="0"/>
      <sheetData sheetId="1"/>
      <sheetData sheetId="2"/>
      <sheetData sheetId="3"/>
      <sheetData sheetId="4"/>
      <sheetData sheetId="5"/>
      <sheetData sheetId="6">
        <row r="60">
          <cell r="AC60">
            <v>0</v>
          </cell>
        </row>
        <row r="63">
          <cell r="AC63">
            <v>8.4711764705716632</v>
          </cell>
        </row>
        <row r="64">
          <cell r="AC64">
            <v>75</v>
          </cell>
        </row>
        <row r="65">
          <cell r="AC65">
            <v>13.339999999996508</v>
          </cell>
        </row>
        <row r="66">
          <cell r="AC66">
            <v>92.480000000010477</v>
          </cell>
        </row>
        <row r="67">
          <cell r="AC67">
            <v>50</v>
          </cell>
        </row>
        <row r="68">
          <cell r="AC68">
            <v>0</v>
          </cell>
        </row>
        <row r="69">
          <cell r="AC69">
            <v>49.166666666656965</v>
          </cell>
        </row>
        <row r="70">
          <cell r="AC70">
            <v>84</v>
          </cell>
        </row>
        <row r="71">
          <cell r="AC71">
            <v>69</v>
          </cell>
        </row>
        <row r="72">
          <cell r="AC72">
            <v>31.997058823530097</v>
          </cell>
        </row>
        <row r="73">
          <cell r="AC73">
            <v>79559</v>
          </cell>
        </row>
        <row r="74">
          <cell r="AC74">
            <v>50</v>
          </cell>
        </row>
        <row r="76">
          <cell r="AC76">
            <v>-20.629999999997381</v>
          </cell>
        </row>
        <row r="77">
          <cell r="AC77">
            <v>3.7370588235280593</v>
          </cell>
        </row>
        <row r="78">
          <cell r="AC78">
            <v>78.944210526315146</v>
          </cell>
        </row>
        <row r="79">
          <cell r="AC79">
            <v>63.162105263152625</v>
          </cell>
        </row>
        <row r="80">
          <cell r="AC80">
            <v>50</v>
          </cell>
        </row>
        <row r="81">
          <cell r="AC81">
            <v>27.790000000008149</v>
          </cell>
        </row>
        <row r="82">
          <cell r="AC82">
            <v>0</v>
          </cell>
        </row>
        <row r="83">
          <cell r="AC83">
            <v>42.645294117624871</v>
          </cell>
        </row>
        <row r="84">
          <cell r="AC84">
            <v>2.9800000000032014</v>
          </cell>
        </row>
        <row r="85">
          <cell r="AC85">
            <v>87.255789473681943</v>
          </cell>
        </row>
        <row r="86">
          <cell r="AC86">
            <v>74.741052631577986</v>
          </cell>
        </row>
        <row r="87">
          <cell r="AC87">
            <v>30.169999999998254</v>
          </cell>
        </row>
        <row r="88">
          <cell r="AC88">
            <v>71.109999999993306</v>
          </cell>
        </row>
        <row r="89">
          <cell r="AC89">
            <v>-10</v>
          </cell>
        </row>
        <row r="91">
          <cell r="AC91">
            <v>36.150000000012369</v>
          </cell>
        </row>
        <row r="92">
          <cell r="AC92">
            <v>0</v>
          </cell>
        </row>
        <row r="93">
          <cell r="AC93">
            <v>92.003529411758791</v>
          </cell>
        </row>
        <row r="94">
          <cell r="AC94">
            <v>93.040000000000873</v>
          </cell>
        </row>
        <row r="95">
          <cell r="AC95">
            <v>23.86000000000422</v>
          </cell>
        </row>
        <row r="96">
          <cell r="AC96">
            <v>81.068823529421934</v>
          </cell>
        </row>
        <row r="97">
          <cell r="AC97">
            <v>2.5600000000013097</v>
          </cell>
        </row>
        <row r="98">
          <cell r="AC98">
            <v>92.862941176474123</v>
          </cell>
        </row>
        <row r="100">
          <cell r="AC100">
            <v>80.600000000005821</v>
          </cell>
        </row>
      </sheetData>
      <sheetData sheetId="7"/>
      <sheetData sheetId="8"/>
      <sheetData sheetId="9"/>
      <sheetData sheetId="10"/>
      <sheetData sheetId="11">
        <row r="57">
          <cell r="AC57">
            <v>38.549600000493228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XFD1048576"/>
    </sheetView>
  </sheetViews>
  <sheetFormatPr defaultRowHeight="15"/>
  <cols>
    <col min="1" max="1" width="22.5703125" customWidth="1"/>
    <col min="2" max="2" width="15.28515625" customWidth="1"/>
    <col min="3" max="3" width="17.7109375" customWidth="1"/>
    <col min="4" max="4" width="13.7109375" customWidth="1"/>
    <col min="5" max="5" width="24.42578125" customWidth="1"/>
    <col min="6" max="6" width="18.7109375" customWidth="1"/>
    <col min="7" max="7" width="22.28515625" customWidth="1"/>
    <col min="8" max="8" width="23.28515625" customWidth="1"/>
    <col min="9" max="9" width="29.42578125" customWidth="1"/>
    <col min="10" max="10" width="27.7109375" customWidth="1"/>
  </cols>
  <sheetData>
    <row r="1" spans="1:10">
      <c r="A1" s="1"/>
      <c r="B1" s="4" t="s">
        <v>6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</v>
      </c>
      <c r="H1" s="4" t="s">
        <v>0</v>
      </c>
      <c r="I1" s="4" t="s">
        <v>2</v>
      </c>
      <c r="J1" s="4" t="s">
        <v>3</v>
      </c>
    </row>
    <row r="2" spans="1:10" s="2" customFormat="1">
      <c r="A2" s="2" t="s">
        <v>13</v>
      </c>
      <c r="B2" s="5">
        <v>1500</v>
      </c>
      <c r="C2" s="5">
        <v>70</v>
      </c>
      <c r="D2" s="5">
        <v>70</v>
      </c>
      <c r="E2" s="5">
        <v>120</v>
      </c>
      <c r="F2" s="5">
        <v>120</v>
      </c>
      <c r="G2" s="5" t="s">
        <v>8</v>
      </c>
      <c r="H2" s="5" t="s">
        <v>8</v>
      </c>
      <c r="I2" s="5" t="s">
        <v>8</v>
      </c>
      <c r="J2" s="5" t="s">
        <v>8</v>
      </c>
    </row>
    <row r="3" spans="1:10" ht="46.5" customHeight="1">
      <c r="A3" s="3" t="s">
        <v>5</v>
      </c>
      <c r="B3" s="6" t="s">
        <v>7</v>
      </c>
      <c r="C3" s="6">
        <v>1100</v>
      </c>
      <c r="D3" s="6">
        <v>1000</v>
      </c>
      <c r="E3" s="6">
        <v>350</v>
      </c>
      <c r="F3" s="6">
        <v>250</v>
      </c>
      <c r="G3" s="7">
        <v>70000</v>
      </c>
      <c r="H3" s="7">
        <v>55000</v>
      </c>
      <c r="I3" s="7">
        <v>40000</v>
      </c>
      <c r="J3" s="7">
        <v>45000</v>
      </c>
    </row>
    <row r="4" spans="1:10">
      <c r="A4" s="2" t="s">
        <v>4</v>
      </c>
      <c r="B4" s="5" t="s">
        <v>8</v>
      </c>
      <c r="C4" s="5">
        <v>1500</v>
      </c>
      <c r="D4" s="5">
        <v>1500</v>
      </c>
      <c r="E4" s="5">
        <v>1050</v>
      </c>
      <c r="F4" s="5">
        <v>1050</v>
      </c>
      <c r="G4" s="5" t="s">
        <v>8</v>
      </c>
      <c r="H4" s="5" t="s">
        <v>8</v>
      </c>
      <c r="I4" s="5" t="s">
        <v>8</v>
      </c>
      <c r="J4" s="5" t="s">
        <v>8</v>
      </c>
    </row>
    <row r="5" spans="1:10">
      <c r="A5" s="2" t="s">
        <v>14</v>
      </c>
      <c r="B5" s="5"/>
      <c r="C5" s="8">
        <v>2600</v>
      </c>
      <c r="D5" s="8">
        <v>2500</v>
      </c>
      <c r="E5" s="8">
        <v>1400</v>
      </c>
      <c r="F5" s="8">
        <v>1300</v>
      </c>
      <c r="G5" s="9"/>
      <c r="H5" s="9"/>
      <c r="I5" s="9"/>
      <c r="J5" s="9"/>
    </row>
    <row r="6" spans="1:10">
      <c r="B6" s="9"/>
      <c r="C6" s="9"/>
      <c r="D6" s="9"/>
      <c r="E6" s="9"/>
      <c r="F6" s="9"/>
      <c r="G6" s="9"/>
      <c r="H6" s="9"/>
      <c r="I6" s="9"/>
      <c r="J6" s="9"/>
    </row>
    <row r="7" spans="1:10">
      <c r="A7" s="2" t="s">
        <v>15</v>
      </c>
      <c r="B7" s="5"/>
      <c r="C7" s="5">
        <f>C5*1.2</f>
        <v>3120</v>
      </c>
      <c r="D7" s="5">
        <f>D5*1.2</f>
        <v>3000</v>
      </c>
      <c r="E7" s="5">
        <f>E5*1.2</f>
        <v>1680</v>
      </c>
      <c r="F7" s="5">
        <f>F5*1.2</f>
        <v>1560</v>
      </c>
      <c r="G7" s="9"/>
      <c r="H7" s="9"/>
      <c r="I7" s="9"/>
      <c r="J7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topLeftCell="D1" zoomScale="75" zoomScaleNormal="75" workbookViewId="0">
      <selection activeCell="J58" sqref="J58"/>
    </sheetView>
  </sheetViews>
  <sheetFormatPr defaultRowHeight="15"/>
  <cols>
    <col min="1" max="2" width="22.5703125" customWidth="1"/>
    <col min="3" max="3" width="15.28515625" customWidth="1"/>
    <col min="4" max="4" width="17.7109375" customWidth="1"/>
    <col min="5" max="8" width="13.7109375" customWidth="1"/>
    <col min="9" max="11" width="19.42578125" customWidth="1"/>
    <col min="12" max="12" width="29.42578125" customWidth="1"/>
    <col min="13" max="13" width="19.42578125" customWidth="1"/>
    <col min="14" max="14" width="25.7109375" customWidth="1"/>
    <col min="15" max="20" width="19.5703125" customWidth="1"/>
    <col min="21" max="21" width="23.28515625" customWidth="1"/>
    <col min="22" max="23" width="27.7109375" style="35" customWidth="1"/>
    <col min="27" max="27" width="17.7109375" customWidth="1"/>
  </cols>
  <sheetData>
    <row r="1" spans="1:27">
      <c r="A1" s="1"/>
      <c r="B1" s="1" t="s">
        <v>93</v>
      </c>
      <c r="C1" s="4" t="s">
        <v>6</v>
      </c>
      <c r="D1" s="4" t="e">
        <f>'НК, РГ'!#REF!</f>
        <v>#REF!</v>
      </c>
      <c r="E1" s="4" t="str">
        <f>'НК, РГ'!C20</f>
        <v>Мулындин Д.М.</v>
      </c>
      <c r="F1" s="4" t="str">
        <f>'НК, РГ'!C21</f>
        <v>Рашитов Р.К.</v>
      </c>
      <c r="G1" s="4" t="e">
        <f>'НК, РГ'!#REF!</f>
        <v>#REF!</v>
      </c>
      <c r="H1" s="4" t="e">
        <f>'НК, РГ'!#REF!</f>
        <v>#REF!</v>
      </c>
      <c r="I1" s="4" t="e">
        <f>'НК, РГ'!#REF!</f>
        <v>#REF!</v>
      </c>
      <c r="J1" s="4" t="e">
        <f>'НК, РГ'!#REF!</f>
        <v>#REF!</v>
      </c>
      <c r="K1" s="4" t="e">
        <f>'НК, РГ'!#REF!</f>
        <v>#REF!</v>
      </c>
      <c r="L1" s="4" t="e">
        <f>'НК, РГ'!#REF!</f>
        <v>#REF!</v>
      </c>
      <c r="M1" s="4" t="str">
        <f>'НК, РГ'!C41</f>
        <v>Веденяпин Сергей Юрьевич</v>
      </c>
      <c r="N1" s="4" t="str">
        <f>'НК, РГ'!C38</f>
        <v>Зыков Андрей Юрьевич</v>
      </c>
      <c r="O1" s="4" t="s">
        <v>11</v>
      </c>
      <c r="P1" s="4" t="e">
        <f>контролеры!#REF!</f>
        <v>#REF!</v>
      </c>
      <c r="Q1" s="4" t="str">
        <f>механики!C26</f>
        <v>Набиев Рустам Нариманович</v>
      </c>
      <c r="R1" s="4">
        <f>механики!C27</f>
        <v>0</v>
      </c>
      <c r="S1" s="4">
        <f>механики!C28</f>
        <v>0</v>
      </c>
      <c r="T1" s="4" t="s">
        <v>83</v>
      </c>
      <c r="U1" s="4" t="str">
        <f>контролеры!C21</f>
        <v>Базыгутдинов Дамир Асафутдинович</v>
      </c>
      <c r="V1" s="4" t="e">
        <f>контролеры!#REF!</f>
        <v>#REF!</v>
      </c>
      <c r="W1" s="4" t="e">
        <f>контролеры!#REF!</f>
        <v>#REF!</v>
      </c>
      <c r="X1" s="4" t="str">
        <f>'СПТД, курьер'!C8</f>
        <v>Фалахова Алсу Халиловна</v>
      </c>
      <c r="Y1" s="4" t="str">
        <f>'СПТД, курьер'!C7</f>
        <v>Тагиров Искандер Маратович</v>
      </c>
      <c r="Z1" s="4" t="str">
        <f>'СПТД, курьер'!C11</f>
        <v>Костин С.В.</v>
      </c>
      <c r="AA1" s="61" t="s">
        <v>84</v>
      </c>
    </row>
    <row r="2" spans="1:27" s="2" customFormat="1">
      <c r="A2" s="2" t="s">
        <v>82</v>
      </c>
      <c r="C2" s="5">
        <f>'НК, РГ'!D44</f>
        <v>333</v>
      </c>
      <c r="D2" s="5" t="e">
        <f>'НК, РГ'!#REF!</f>
        <v>#REF!</v>
      </c>
      <c r="E2" s="5">
        <f>'НК, РГ'!D20</f>
        <v>130</v>
      </c>
      <c r="F2" s="5">
        <f>'НК, РГ'!D21</f>
        <v>135</v>
      </c>
      <c r="G2" s="5" t="e">
        <f>'НК, РГ'!#REF!</f>
        <v>#REF!</v>
      </c>
      <c r="H2" s="5" t="e">
        <f>'НК, РГ'!#REF!</f>
        <v>#REF!</v>
      </c>
      <c r="I2" s="5" t="e">
        <f>'НК, РГ'!#REF!</f>
        <v>#REF!</v>
      </c>
      <c r="J2" s="5" t="e">
        <f>'НК, РГ'!#REF!</f>
        <v>#REF!</v>
      </c>
      <c r="K2" s="5" t="e">
        <f>'НК, РГ'!#REF!</f>
        <v>#REF!</v>
      </c>
      <c r="L2" s="5" t="e">
        <f>'НК, РГ'!#REF!</f>
        <v>#REF!</v>
      </c>
      <c r="M2" s="5">
        <f>'НК, РГ'!D41</f>
        <v>0</v>
      </c>
      <c r="N2" s="5">
        <f>'НК, РГ'!D38</f>
        <v>30</v>
      </c>
      <c r="O2" s="5">
        <f>C2</f>
        <v>333</v>
      </c>
      <c r="P2" s="5" t="e">
        <f>контролеры!#REF!</f>
        <v>#REF!</v>
      </c>
      <c r="Q2" s="5">
        <f>механики!D26</f>
        <v>0</v>
      </c>
      <c r="R2" s="5"/>
      <c r="S2" s="5"/>
      <c r="T2" s="5"/>
      <c r="U2" s="5"/>
      <c r="V2" s="5" t="s">
        <v>8</v>
      </c>
      <c r="W2" s="5" t="s">
        <v>8</v>
      </c>
      <c r="X2" s="5" t="s">
        <v>8</v>
      </c>
      <c r="Y2" s="5"/>
      <c r="Z2" s="5" t="s">
        <v>8</v>
      </c>
      <c r="AA2" s="62">
        <f>C2</f>
        <v>333</v>
      </c>
    </row>
    <row r="3" spans="1:27" ht="46.5" customHeight="1">
      <c r="A3" s="3" t="s">
        <v>5</v>
      </c>
      <c r="B3" s="59" t="e">
        <f>#REF!</f>
        <v>#REF!</v>
      </c>
      <c r="C3" s="59">
        <f>РД!D10</f>
        <v>200000</v>
      </c>
      <c r="D3" s="59" t="e">
        <f>'НК, РГ'!#REF!</f>
        <v>#REF!</v>
      </c>
      <c r="E3" s="59">
        <f>'НК, РГ'!F20</f>
        <v>150000</v>
      </c>
      <c r="F3" s="59">
        <f>'НК, РГ'!F21</f>
        <v>150000</v>
      </c>
      <c r="G3" s="59" t="e">
        <f>'НК, РГ'!#REF!</f>
        <v>#REF!</v>
      </c>
      <c r="H3" s="59" t="e">
        <f>'НК, РГ'!#REF!</f>
        <v>#REF!</v>
      </c>
      <c r="I3" s="59" t="e">
        <f>'НК, РГ'!#REF!</f>
        <v>#REF!</v>
      </c>
      <c r="J3" s="59" t="e">
        <f>'НК, РГ'!#REF!</f>
        <v>#REF!</v>
      </c>
      <c r="K3" s="59" t="e">
        <f>'НК, РГ'!#REF!</f>
        <v>#REF!</v>
      </c>
      <c r="L3" s="59" t="e">
        <f>'НК, РГ'!#REF!</f>
        <v>#REF!</v>
      </c>
      <c r="M3" s="59">
        <f>'НК, РГ'!F41</f>
        <v>37500</v>
      </c>
      <c r="N3" s="59">
        <f>'НК, РГ'!F38</f>
        <v>50000</v>
      </c>
      <c r="O3" s="59" t="e">
        <f>механики!#REF!</f>
        <v>#REF!</v>
      </c>
      <c r="P3" s="59" t="e">
        <f>контролеры!#REF!</f>
        <v>#REF!</v>
      </c>
      <c r="Q3" s="59">
        <f>механики!F26</f>
        <v>70000</v>
      </c>
      <c r="R3" s="59">
        <f>механики!F27</f>
        <v>0</v>
      </c>
      <c r="S3" s="59">
        <f>механики!F28</f>
        <v>0</v>
      </c>
      <c r="T3" s="7">
        <f>контролеры!D18</f>
        <v>54761.9</v>
      </c>
      <c r="U3" s="7">
        <f>контролеры!D21</f>
        <v>45000</v>
      </c>
      <c r="V3" s="7" t="e">
        <f>контролеры!#REF!</f>
        <v>#REF!</v>
      </c>
      <c r="W3" s="7" t="e">
        <f>контролеры!#REF!</f>
        <v>#REF!</v>
      </c>
      <c r="X3" s="7">
        <f>'СПТД, курьер'!D8</f>
        <v>30000</v>
      </c>
      <c r="Y3" s="7">
        <f>'СПТД, курьер'!D7</f>
        <v>47400</v>
      </c>
      <c r="Z3" s="7">
        <f>'СПТД, курьер'!D11</f>
        <v>30000</v>
      </c>
      <c r="AA3" s="63" t="e">
        <f>SUM(B3:Z3)</f>
        <v>#REF!</v>
      </c>
    </row>
    <row r="4" spans="1:27">
      <c r="A4" s="2" t="s">
        <v>4</v>
      </c>
      <c r="B4" s="60" t="e">
        <f>#REF!</f>
        <v>#REF!</v>
      </c>
      <c r="C4" s="60">
        <f>РД!G10</f>
        <v>0</v>
      </c>
      <c r="D4" s="60" t="e">
        <f>'НК, РГ'!#REF!</f>
        <v>#REF!</v>
      </c>
      <c r="E4" s="60">
        <f>'НК, РГ'!Q20</f>
        <v>0</v>
      </c>
      <c r="F4" s="60">
        <f>'НК, РГ'!Q21</f>
        <v>0</v>
      </c>
      <c r="G4" s="60" t="e">
        <f>'НК, РГ'!#REF!</f>
        <v>#REF!</v>
      </c>
      <c r="H4" s="60" t="e">
        <f>'НК, РГ'!#REF!</f>
        <v>#REF!</v>
      </c>
      <c r="I4" s="60" t="e">
        <f>'НК, РГ'!#REF!</f>
        <v>#REF!</v>
      </c>
      <c r="J4" s="60" t="e">
        <f>'НК, РГ'!#REF!</f>
        <v>#REF!</v>
      </c>
      <c r="K4" s="60" t="e">
        <f>'НК, РГ'!#REF!</f>
        <v>#REF!</v>
      </c>
      <c r="L4" s="60" t="e">
        <f>'НК, РГ'!#REF!</f>
        <v>#REF!</v>
      </c>
      <c r="M4" s="60">
        <f>'НК, РГ'!U41</f>
        <v>37500</v>
      </c>
      <c r="N4" s="60">
        <f>'НК, РГ'!U38</f>
        <v>42000</v>
      </c>
      <c r="O4" s="60" t="e">
        <f>механики!#REF!</f>
        <v>#REF!</v>
      </c>
      <c r="P4" s="60" t="e">
        <f>контролеры!#REF!</f>
        <v>#REF!</v>
      </c>
      <c r="Q4" s="60">
        <f>механики!S26</f>
        <v>0</v>
      </c>
      <c r="R4" s="60">
        <v>0</v>
      </c>
      <c r="S4" s="60">
        <v>0</v>
      </c>
      <c r="T4" s="60">
        <f>контролеры!L18</f>
        <v>40000</v>
      </c>
      <c r="U4" s="60">
        <f>контролеры!L21</f>
        <v>30000</v>
      </c>
      <c r="V4" s="60" t="e">
        <f>контролеры!#REF!</f>
        <v>#REF!</v>
      </c>
      <c r="W4" s="60" t="e">
        <f>контролеры!#REF!</f>
        <v>#REF!</v>
      </c>
      <c r="X4" s="60">
        <f>'СПТД, курьер'!O8</f>
        <v>40000</v>
      </c>
      <c r="Y4" s="60"/>
      <c r="Z4" s="60">
        <f>'СПТД, курьер'!O11</f>
        <v>40000</v>
      </c>
      <c r="AA4" s="63" t="e">
        <f>SUM(B4:Z4)</f>
        <v>#REF!</v>
      </c>
    </row>
    <row r="5" spans="1:27">
      <c r="A5" s="2" t="s">
        <v>86</v>
      </c>
      <c r="B5" s="60" t="e">
        <f>B3+B4</f>
        <v>#REF!</v>
      </c>
      <c r="C5" s="60">
        <f>C3+C4</f>
        <v>200000</v>
      </c>
      <c r="D5" s="60" t="e">
        <f t="shared" ref="D5:Z5" si="0">D3+D4</f>
        <v>#REF!</v>
      </c>
      <c r="E5" s="60">
        <f t="shared" si="0"/>
        <v>150000</v>
      </c>
      <c r="F5" s="60">
        <f t="shared" ref="F5:N5" si="1">F3+F4</f>
        <v>150000</v>
      </c>
      <c r="G5" s="60" t="e">
        <f t="shared" si="1"/>
        <v>#REF!</v>
      </c>
      <c r="H5" s="60" t="e">
        <f t="shared" si="1"/>
        <v>#REF!</v>
      </c>
      <c r="I5" s="60" t="e">
        <f t="shared" si="1"/>
        <v>#REF!</v>
      </c>
      <c r="J5" s="60" t="e">
        <f t="shared" si="1"/>
        <v>#REF!</v>
      </c>
      <c r="K5" s="60" t="e">
        <f t="shared" si="1"/>
        <v>#REF!</v>
      </c>
      <c r="L5" s="60" t="e">
        <f t="shared" si="1"/>
        <v>#REF!</v>
      </c>
      <c r="M5" s="60">
        <f t="shared" si="1"/>
        <v>75000</v>
      </c>
      <c r="N5" s="60">
        <f t="shared" si="1"/>
        <v>92000</v>
      </c>
      <c r="O5" s="60" t="e">
        <f t="shared" si="0"/>
        <v>#REF!</v>
      </c>
      <c r="P5" s="60" t="e">
        <f t="shared" si="0"/>
        <v>#REF!</v>
      </c>
      <c r="Q5" s="60">
        <f t="shared" si="0"/>
        <v>70000</v>
      </c>
      <c r="R5" s="60">
        <f t="shared" si="0"/>
        <v>0</v>
      </c>
      <c r="S5" s="60">
        <f t="shared" si="0"/>
        <v>0</v>
      </c>
      <c r="T5" s="60">
        <f t="shared" si="0"/>
        <v>94761.9</v>
      </c>
      <c r="U5" s="60">
        <f t="shared" si="0"/>
        <v>75000</v>
      </c>
      <c r="V5" s="60" t="e">
        <f t="shared" si="0"/>
        <v>#REF!</v>
      </c>
      <c r="W5" s="60" t="e">
        <f>W3+W4</f>
        <v>#REF!</v>
      </c>
      <c r="X5" s="60">
        <f t="shared" si="0"/>
        <v>70000</v>
      </c>
      <c r="Y5" s="60">
        <f t="shared" si="0"/>
        <v>47400</v>
      </c>
      <c r="Z5" s="60">
        <f t="shared" si="0"/>
        <v>70000</v>
      </c>
      <c r="AA5" s="63" t="e">
        <f>SUM(B5:Z5)</f>
        <v>#REF!</v>
      </c>
    </row>
    <row r="6" spans="1:27" s="67" customFormat="1">
      <c r="A6" s="65" t="s">
        <v>85</v>
      </c>
      <c r="B6" s="69"/>
      <c r="C6" s="79">
        <f>C5/C2</f>
        <v>600.60060060060061</v>
      </c>
      <c r="D6" s="79" t="e">
        <f>D5/D2</f>
        <v>#REF!</v>
      </c>
      <c r="E6" s="79">
        <f>E5/E2</f>
        <v>1153.8461538461538</v>
      </c>
      <c r="F6" s="79">
        <f>F5/F2</f>
        <v>1111.1111111111111</v>
      </c>
      <c r="G6" s="79" t="e">
        <f>G5/G2</f>
        <v>#REF!</v>
      </c>
      <c r="H6" s="79"/>
      <c r="I6" s="79"/>
      <c r="J6" s="79"/>
      <c r="K6" s="79"/>
      <c r="L6" s="79"/>
      <c r="M6" s="79"/>
      <c r="N6" s="79"/>
      <c r="O6" s="79" t="e">
        <f>O5/O2</f>
        <v>#REF!</v>
      </c>
      <c r="P6" s="79" t="e">
        <f>P5/P2</f>
        <v>#REF!</v>
      </c>
      <c r="Q6" s="79" t="e">
        <f>Q5/Q2</f>
        <v>#DIV/0!</v>
      </c>
      <c r="R6" s="79"/>
      <c r="S6" s="79"/>
      <c r="T6" s="79"/>
      <c r="U6" s="79"/>
      <c r="V6" s="79"/>
      <c r="W6" s="79"/>
      <c r="X6" s="79"/>
      <c r="Y6" s="79"/>
      <c r="Z6" s="79"/>
      <c r="AA6" s="66" t="e">
        <f>AA5/AA2</f>
        <v>#REF!</v>
      </c>
    </row>
    <row r="7" spans="1:27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64"/>
      <c r="W7" s="64"/>
    </row>
    <row r="8" spans="1:27">
      <c r="A8" t="s">
        <v>87</v>
      </c>
      <c r="D8" s="68" t="e">
        <f>(D5+E5+F5+G5+H5)/C2</f>
        <v>#REF!</v>
      </c>
      <c r="F8" s="68" t="e">
        <f>(D5+E5+F5)/C2</f>
        <v>#REF!</v>
      </c>
      <c r="G8" t="s">
        <v>103</v>
      </c>
      <c r="T8" s="35"/>
      <c r="V8"/>
      <c r="W8"/>
    </row>
    <row r="9" spans="1:27">
      <c r="T9" s="35"/>
      <c r="V9"/>
      <c r="W9"/>
    </row>
    <row r="10" spans="1:27">
      <c r="A10" t="s">
        <v>88</v>
      </c>
      <c r="D10" s="68" t="e">
        <f>(O5+P5+Q5)/C2</f>
        <v>#REF!</v>
      </c>
      <c r="P10" s="35"/>
      <c r="V10"/>
      <c r="W10"/>
    </row>
    <row r="11" spans="1:27">
      <c r="T11" s="35"/>
      <c r="V11"/>
      <c r="W11"/>
    </row>
    <row r="12" spans="1:27">
      <c r="A12" t="s">
        <v>94</v>
      </c>
      <c r="D12" s="68" t="e">
        <f>(T5+U5+V5)/C2</f>
        <v>#REF!</v>
      </c>
      <c r="T12" s="35"/>
      <c r="V12"/>
      <c r="W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M10"/>
  <sheetViews>
    <sheetView workbookViewId="0">
      <selection activeCell="C47" sqref="C47"/>
    </sheetView>
  </sheetViews>
  <sheetFormatPr defaultRowHeight="15"/>
  <cols>
    <col min="1" max="1" width="5.5703125" customWidth="1"/>
    <col min="2" max="2" width="23.42578125" customWidth="1"/>
    <col min="3" max="3" width="22.28515625" customWidth="1"/>
    <col min="4" max="4" width="11.42578125" customWidth="1"/>
    <col min="5" max="5" width="12.28515625" customWidth="1"/>
    <col min="6" max="6" width="11.7109375" customWidth="1"/>
    <col min="7" max="7" width="10.7109375" customWidth="1"/>
    <col min="8" max="8" width="10.28515625" customWidth="1"/>
    <col min="9" max="9" width="8.5703125" customWidth="1"/>
    <col min="11" max="11" width="10" customWidth="1"/>
    <col min="12" max="12" width="10.7109375" customWidth="1"/>
    <col min="13" max="13" width="9.7109375" customWidth="1"/>
    <col min="15" max="15" width="9.7109375" customWidth="1"/>
    <col min="17" max="17" width="9.7109375" customWidth="1"/>
    <col min="21" max="21" width="10.28515625" customWidth="1"/>
    <col min="23" max="23" width="10.28515625" customWidth="1"/>
  </cols>
  <sheetData>
    <row r="1" spans="1:13" s="35" customFormat="1">
      <c r="A1" s="35" t="s">
        <v>73</v>
      </c>
    </row>
    <row r="6" spans="1:13" ht="14.65" customHeight="1">
      <c r="A6" s="375" t="s">
        <v>29</v>
      </c>
      <c r="B6" s="375" t="s">
        <v>23</v>
      </c>
      <c r="C6" s="375" t="s">
        <v>30</v>
      </c>
      <c r="D6" s="80" t="s">
        <v>24</v>
      </c>
      <c r="E6" s="382" t="s">
        <v>25</v>
      </c>
      <c r="F6" s="382"/>
      <c r="G6" s="382"/>
      <c r="H6" s="382"/>
      <c r="I6" s="382"/>
      <c r="J6" s="382"/>
      <c r="K6" s="379" t="s">
        <v>89</v>
      </c>
      <c r="L6" s="83" t="s">
        <v>90</v>
      </c>
      <c r="M6" s="379" t="s">
        <v>91</v>
      </c>
    </row>
    <row r="7" spans="1:13" ht="16.149999999999999" customHeight="1">
      <c r="A7" s="375"/>
      <c r="B7" s="375"/>
      <c r="C7" s="375"/>
      <c r="D7" s="376" t="s">
        <v>92</v>
      </c>
      <c r="E7" s="383" t="s">
        <v>75</v>
      </c>
      <c r="F7" s="384"/>
      <c r="G7" s="385"/>
      <c r="H7" s="81" t="s">
        <v>112</v>
      </c>
      <c r="I7" s="81" t="s">
        <v>113</v>
      </c>
      <c r="J7" s="81" t="s">
        <v>114</v>
      </c>
      <c r="K7" s="381"/>
      <c r="L7" s="84"/>
      <c r="M7" s="381"/>
    </row>
    <row r="8" spans="1:13">
      <c r="A8" s="375"/>
      <c r="B8" s="375"/>
      <c r="C8" s="375"/>
      <c r="D8" s="377"/>
      <c r="E8" s="379" t="s">
        <v>109</v>
      </c>
      <c r="F8" s="379" t="s">
        <v>110</v>
      </c>
      <c r="G8" s="379" t="s">
        <v>111</v>
      </c>
      <c r="H8" s="379"/>
      <c r="I8" s="379"/>
      <c r="J8" s="379"/>
      <c r="K8" s="381"/>
      <c r="L8" s="84"/>
      <c r="M8" s="381"/>
    </row>
    <row r="9" spans="1:13">
      <c r="A9" s="375"/>
      <c r="B9" s="375"/>
      <c r="C9" s="375"/>
      <c r="D9" s="378"/>
      <c r="E9" s="380"/>
      <c r="F9" s="380"/>
      <c r="G9" s="380"/>
      <c r="H9" s="380"/>
      <c r="I9" s="380"/>
      <c r="J9" s="380"/>
      <c r="K9" s="380"/>
      <c r="L9" s="85"/>
      <c r="M9" s="380"/>
    </row>
    <row r="10" spans="1:13">
      <c r="A10" s="2">
        <v>1</v>
      </c>
      <c r="B10" s="2" t="s">
        <v>73</v>
      </c>
      <c r="C10" s="2" t="s">
        <v>74</v>
      </c>
      <c r="D10" s="11">
        <v>200000</v>
      </c>
      <c r="E10" s="23"/>
      <c r="F10" s="82">
        <v>0.12</v>
      </c>
      <c r="G10" s="23">
        <f>E10*F10</f>
        <v>0</v>
      </c>
      <c r="H10" s="23"/>
      <c r="I10" s="23"/>
      <c r="J10" s="23"/>
      <c r="K10" s="23">
        <f>D10+G10</f>
        <v>200000</v>
      </c>
      <c r="L10" s="145"/>
      <c r="M10" s="23">
        <f>K10-L10</f>
        <v>200000</v>
      </c>
    </row>
  </sheetData>
  <mergeCells count="14">
    <mergeCell ref="I8:I9"/>
    <mergeCell ref="J8:J9"/>
    <mergeCell ref="K6:K9"/>
    <mergeCell ref="M6:M9"/>
    <mergeCell ref="E6:J6"/>
    <mergeCell ref="E7:G7"/>
    <mergeCell ref="E8:E9"/>
    <mergeCell ref="F8:F9"/>
    <mergeCell ref="G8:G9"/>
    <mergeCell ref="A6:A9"/>
    <mergeCell ref="B6:B9"/>
    <mergeCell ref="C6:C9"/>
    <mergeCell ref="D7:D9"/>
    <mergeCell ref="H8:H9"/>
  </mergeCells>
  <pageMargins left="0.31496062992125984" right="0.11811023622047245" top="0.35433070866141736" bottom="0.35433070866141736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D28" sqref="D28"/>
    </sheetView>
  </sheetViews>
  <sheetFormatPr defaultColWidth="9.28515625" defaultRowHeight="15" outlineLevelRow="1"/>
  <cols>
    <col min="1" max="1" width="36.7109375" style="119" customWidth="1"/>
    <col min="2" max="2" width="9.28515625" style="119"/>
    <col min="3" max="3" width="40.42578125" style="119" customWidth="1"/>
    <col min="4" max="4" width="12.7109375" style="119" customWidth="1"/>
    <col min="5" max="6" width="13.28515625" style="119" bestFit="1" customWidth="1"/>
    <col min="7" max="12" width="12.7109375" style="119" customWidth="1"/>
    <col min="13" max="16384" width="9.28515625" style="119"/>
  </cols>
  <sheetData>
    <row r="2" spans="1:13" hidden="1" outlineLevel="1">
      <c r="C2" s="119" t="s">
        <v>160</v>
      </c>
    </row>
    <row r="3" spans="1:13" hidden="1" outlineLevel="1"/>
    <row r="4" spans="1:13" hidden="1" outlineLevel="1">
      <c r="A4" s="120" t="s">
        <v>161</v>
      </c>
      <c r="C4" s="121" t="s">
        <v>24</v>
      </c>
      <c r="D4" s="122">
        <v>50000</v>
      </c>
      <c r="E4" s="122">
        <v>50000</v>
      </c>
      <c r="F4" s="122">
        <v>50000</v>
      </c>
      <c r="G4" s="122">
        <v>50000</v>
      </c>
    </row>
    <row r="5" spans="1:13" hidden="1" outlineLevel="1">
      <c r="A5" s="123"/>
      <c r="C5" s="119" t="s">
        <v>160</v>
      </c>
    </row>
    <row r="6" spans="1:13" ht="45" hidden="1" outlineLevel="1">
      <c r="A6" s="123" t="s">
        <v>162</v>
      </c>
      <c r="C6" s="124" t="s">
        <v>163</v>
      </c>
      <c r="D6" s="125" t="s">
        <v>164</v>
      </c>
      <c r="E6" s="126" t="s">
        <v>165</v>
      </c>
      <c r="F6" s="127" t="s">
        <v>166</v>
      </c>
      <c r="G6" s="127" t="s">
        <v>167</v>
      </c>
    </row>
    <row r="7" spans="1:13" hidden="1" outlineLevel="1">
      <c r="A7" s="123"/>
      <c r="B7" s="119">
        <v>1</v>
      </c>
      <c r="C7" s="124"/>
      <c r="D7" s="128">
        <v>0</v>
      </c>
      <c r="E7" s="129">
        <v>50000</v>
      </c>
      <c r="F7" s="130">
        <v>100000</v>
      </c>
      <c r="G7" s="130">
        <v>150000</v>
      </c>
    </row>
    <row r="8" spans="1:13" ht="30" hidden="1" outlineLevel="1">
      <c r="A8" s="123" t="s">
        <v>168</v>
      </c>
      <c r="B8" s="119">
        <v>2</v>
      </c>
      <c r="C8" s="131" t="s">
        <v>169</v>
      </c>
      <c r="D8" s="132">
        <v>50000</v>
      </c>
      <c r="E8" s="132">
        <v>50000</v>
      </c>
      <c r="F8" s="132">
        <v>50000</v>
      </c>
      <c r="G8" s="132">
        <v>50000</v>
      </c>
    </row>
    <row r="9" spans="1:13" ht="30" hidden="1" outlineLevel="1">
      <c r="A9" s="123" t="s">
        <v>170</v>
      </c>
      <c r="B9" s="119">
        <v>3</v>
      </c>
      <c r="C9" s="131" t="s">
        <v>171</v>
      </c>
      <c r="D9" s="133" t="s">
        <v>172</v>
      </c>
      <c r="E9" s="134" t="s">
        <v>173</v>
      </c>
      <c r="F9" s="135" t="s">
        <v>174</v>
      </c>
      <c r="G9" s="132"/>
    </row>
    <row r="10" spans="1:13" hidden="1" outlineLevel="1">
      <c r="C10" s="131"/>
      <c r="D10" s="133">
        <v>0</v>
      </c>
      <c r="E10" s="129">
        <v>50000</v>
      </c>
      <c r="F10" s="130">
        <v>100000</v>
      </c>
      <c r="G10" s="132"/>
    </row>
    <row r="11" spans="1:13" collapsed="1"/>
    <row r="14" spans="1:13">
      <c r="C14" s="119" t="s">
        <v>175</v>
      </c>
    </row>
    <row r="15" spans="1:13">
      <c r="C15" s="123"/>
      <c r="D15" s="123"/>
    </row>
    <row r="16" spans="1:13">
      <c r="A16" s="140"/>
      <c r="C16" s="121" t="s">
        <v>24</v>
      </c>
      <c r="D16" s="121"/>
      <c r="E16" s="122"/>
      <c r="F16" s="122"/>
      <c r="G16" s="122"/>
      <c r="H16" s="122"/>
      <c r="I16" s="122"/>
      <c r="J16" s="122"/>
      <c r="K16" s="122"/>
      <c r="L16" s="122"/>
      <c r="M16" s="122"/>
    </row>
    <row r="17" spans="3:13">
      <c r="C17" s="119" t="s">
        <v>160</v>
      </c>
      <c r="F17" s="136"/>
      <c r="G17" s="136"/>
      <c r="H17" s="136"/>
      <c r="I17" s="136"/>
      <c r="J17" s="136"/>
      <c r="K17" s="136"/>
      <c r="L17" s="136"/>
      <c r="M17" s="136"/>
    </row>
    <row r="18" spans="3:13">
      <c r="C18" s="124" t="s">
        <v>176</v>
      </c>
      <c r="D18" s="124"/>
      <c r="E18" s="125"/>
      <c r="F18" s="125"/>
      <c r="G18" s="125"/>
      <c r="H18" s="125"/>
      <c r="I18" s="126"/>
      <c r="J18" s="126"/>
      <c r="K18" s="126"/>
      <c r="L18" s="127"/>
      <c r="M18" s="127"/>
    </row>
    <row r="19" spans="3:13">
      <c r="C19" s="124"/>
      <c r="D19" s="124"/>
      <c r="E19" s="128"/>
      <c r="F19" s="128"/>
      <c r="G19" s="128"/>
      <c r="H19" s="128"/>
      <c r="I19" s="129"/>
      <c r="J19" s="129"/>
      <c r="K19" s="129"/>
      <c r="L19" s="130"/>
      <c r="M19" s="130"/>
    </row>
    <row r="20" spans="3:13">
      <c r="C20" s="131" t="s">
        <v>177</v>
      </c>
      <c r="D20" s="141">
        <v>1</v>
      </c>
      <c r="E20" s="132"/>
      <c r="F20" s="137"/>
      <c r="G20" s="137"/>
      <c r="H20" s="137"/>
      <c r="I20" s="137"/>
      <c r="J20" s="137"/>
      <c r="K20" s="137"/>
      <c r="L20" s="137"/>
      <c r="M20" s="137"/>
    </row>
    <row r="21" spans="3:13">
      <c r="C21" s="131" t="s">
        <v>178</v>
      </c>
      <c r="D21" s="141">
        <v>1</v>
      </c>
      <c r="E21" s="129"/>
      <c r="F21" s="129"/>
      <c r="G21" s="129"/>
      <c r="H21" s="130"/>
      <c r="I21" s="130"/>
      <c r="J21" s="130"/>
      <c r="K21" s="130"/>
      <c r="L21" s="130"/>
      <c r="M21" s="130"/>
    </row>
    <row r="22" spans="3:13">
      <c r="C22" s="131" t="s">
        <v>179</v>
      </c>
      <c r="D22" s="141"/>
      <c r="E22" s="129">
        <f>E20+E21</f>
        <v>0</v>
      </c>
      <c r="F22" s="129"/>
      <c r="G22" s="129"/>
      <c r="H22" s="130"/>
      <c r="I22" s="130"/>
      <c r="J22" s="130"/>
      <c r="K22" s="130"/>
      <c r="L22" s="130"/>
      <c r="M22" s="130"/>
    </row>
    <row r="23" spans="3:13">
      <c r="C23" s="138" t="s">
        <v>180</v>
      </c>
      <c r="D23" s="138"/>
      <c r="E23" s="139">
        <f>E16+E22</f>
        <v>0</v>
      </c>
      <c r="F23" s="139"/>
      <c r="G23" s="139"/>
      <c r="H23" s="139"/>
      <c r="I23" s="139"/>
      <c r="J23" s="139"/>
      <c r="K23" s="139"/>
      <c r="L23" s="139"/>
      <c r="M23" s="1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63"/>
  <sheetViews>
    <sheetView topLeftCell="A18" zoomScale="98" zoomScaleNormal="98" workbookViewId="0">
      <pane xSplit="3" topLeftCell="F1" activePane="topRight" state="frozen"/>
      <selection pane="topRight" activeCell="AB64" sqref="AB64"/>
    </sheetView>
  </sheetViews>
  <sheetFormatPr defaultRowHeight="15" outlineLevelRow="1"/>
  <cols>
    <col min="1" max="1" width="5.5703125" customWidth="1"/>
    <col min="2" max="2" width="11.7109375" customWidth="1"/>
    <col min="3" max="3" width="22.28515625" customWidth="1"/>
    <col min="4" max="4" width="11.42578125" customWidth="1"/>
    <col min="5" max="5" width="12.28515625" customWidth="1"/>
    <col min="6" max="6" width="11.7109375" customWidth="1"/>
    <col min="7" max="7" width="12.28515625" customWidth="1"/>
    <col min="8" max="8" width="11.7109375" customWidth="1"/>
    <col min="9" max="9" width="12.5703125" customWidth="1"/>
    <col min="10" max="10" width="10.28515625" customWidth="1"/>
    <col min="11" max="11" width="10.7109375" customWidth="1"/>
    <col min="12" max="12" width="11.42578125" customWidth="1"/>
    <col min="13" max="13" width="13.5703125" customWidth="1"/>
    <col min="14" max="14" width="14.28515625" customWidth="1"/>
    <col min="15" max="15" width="9.7109375" customWidth="1"/>
    <col min="16" max="16" width="11.5703125" customWidth="1"/>
    <col min="17" max="17" width="9.7109375" customWidth="1"/>
    <col min="18" max="18" width="12.140625" customWidth="1"/>
    <col min="19" max="21" width="11.28515625" customWidth="1"/>
    <col min="22" max="22" width="10.28515625" customWidth="1"/>
    <col min="23" max="23" width="11" customWidth="1"/>
    <col min="24" max="25" width="10.28515625" customWidth="1"/>
    <col min="26" max="27" width="12.7109375" customWidth="1"/>
    <col min="28" max="28" width="13.5703125" customWidth="1"/>
    <col min="29" max="29" width="10.28515625" customWidth="1"/>
    <col min="30" max="30" width="10.7109375" customWidth="1"/>
  </cols>
  <sheetData>
    <row r="1" spans="1:28" ht="21">
      <c r="A1" s="51" t="s">
        <v>77</v>
      </c>
    </row>
    <row r="2" spans="1:28" ht="21">
      <c r="A2" s="51"/>
    </row>
    <row r="3" spans="1:28" s="35" customFormat="1">
      <c r="A3" s="36" t="s">
        <v>150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8" hidden="1" outlineLevel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 t="s">
        <v>188</v>
      </c>
      <c r="N4" s="37"/>
      <c r="O4" s="37"/>
      <c r="P4" s="37"/>
      <c r="Q4" s="37"/>
      <c r="R4" s="37"/>
      <c r="S4" s="37"/>
      <c r="T4" s="37"/>
      <c r="U4" s="37"/>
      <c r="V4" s="37" t="s">
        <v>129</v>
      </c>
      <c r="W4" s="37"/>
      <c r="X4" s="37"/>
      <c r="Y4" s="37"/>
    </row>
    <row r="5" spans="1:28" ht="76.5" hidden="1" customHeight="1" outlineLevel="1">
      <c r="A5" s="37"/>
      <c r="B5" s="38" t="s">
        <v>34</v>
      </c>
      <c r="C5" s="38" t="s">
        <v>33</v>
      </c>
      <c r="D5" s="37"/>
      <c r="E5" s="39"/>
      <c r="F5" s="40" t="s">
        <v>40</v>
      </c>
      <c r="G5" s="40" t="s">
        <v>44</v>
      </c>
      <c r="H5" s="432" t="s">
        <v>41</v>
      </c>
      <c r="I5" s="432"/>
      <c r="J5" s="432"/>
      <c r="K5" s="40" t="s">
        <v>45</v>
      </c>
      <c r="L5" s="37"/>
      <c r="M5" s="434" t="s">
        <v>16</v>
      </c>
      <c r="N5" s="434"/>
      <c r="O5" s="431" t="s">
        <v>138</v>
      </c>
      <c r="P5" s="431" t="s">
        <v>139</v>
      </c>
      <c r="Q5" s="431" t="s">
        <v>140</v>
      </c>
      <c r="R5" s="431" t="s">
        <v>141</v>
      </c>
      <c r="S5" s="431" t="s">
        <v>63</v>
      </c>
      <c r="T5" s="142"/>
      <c r="U5" s="37"/>
      <c r="V5" s="434" t="s">
        <v>16</v>
      </c>
      <c r="W5" s="434"/>
      <c r="X5" s="431" t="s">
        <v>225</v>
      </c>
      <c r="Y5" s="431" t="s">
        <v>226</v>
      </c>
      <c r="Z5" s="431" t="s">
        <v>140</v>
      </c>
      <c r="AA5" s="431" t="s">
        <v>186</v>
      </c>
      <c r="AB5" s="431" t="s">
        <v>63</v>
      </c>
    </row>
    <row r="6" spans="1:28" ht="45" hidden="1" customHeight="1" outlineLevel="1">
      <c r="A6" s="37"/>
      <c r="B6" s="38" t="s">
        <v>31</v>
      </c>
      <c r="C6" s="38">
        <v>1100</v>
      </c>
      <c r="D6" s="37"/>
      <c r="E6" s="41" t="s">
        <v>26</v>
      </c>
      <c r="F6" s="58">
        <v>1.5</v>
      </c>
      <c r="G6" s="42">
        <v>18600</v>
      </c>
      <c r="H6" s="433" t="s">
        <v>42</v>
      </c>
      <c r="I6" s="433"/>
      <c r="J6" s="433"/>
      <c r="K6" s="58">
        <v>5.92</v>
      </c>
      <c r="L6" s="37"/>
      <c r="M6" s="43" t="s">
        <v>19</v>
      </c>
      <c r="N6" s="43" t="s">
        <v>20</v>
      </c>
      <c r="O6" s="431"/>
      <c r="P6" s="431"/>
      <c r="Q6" s="431"/>
      <c r="R6" s="431"/>
      <c r="S6" s="431"/>
      <c r="T6" s="142"/>
      <c r="U6" s="37"/>
      <c r="V6" s="43" t="s">
        <v>19</v>
      </c>
      <c r="W6" s="43" t="s">
        <v>20</v>
      </c>
      <c r="X6" s="431"/>
      <c r="Y6" s="431"/>
      <c r="Z6" s="431"/>
      <c r="AA6" s="431"/>
      <c r="AB6" s="431"/>
    </row>
    <row r="7" spans="1:28" hidden="1" outlineLevel="1">
      <c r="A7" s="37"/>
      <c r="B7" s="38" t="s">
        <v>28</v>
      </c>
      <c r="C7" s="38">
        <v>1000</v>
      </c>
      <c r="D7" s="37"/>
      <c r="E7" s="37"/>
      <c r="F7" s="37"/>
      <c r="G7" s="37"/>
      <c r="H7" s="37"/>
      <c r="I7" s="37"/>
      <c r="J7" s="37"/>
      <c r="K7" s="37"/>
      <c r="L7" s="37"/>
      <c r="M7" s="43" t="s">
        <v>21</v>
      </c>
      <c r="N7" s="108">
        <v>1000</v>
      </c>
      <c r="O7" s="106">
        <v>0.4</v>
      </c>
      <c r="P7" s="106">
        <v>0.6</v>
      </c>
      <c r="Q7" s="106">
        <v>0.8</v>
      </c>
      <c r="R7" s="106">
        <v>1</v>
      </c>
      <c r="S7" s="106">
        <v>1.2</v>
      </c>
      <c r="T7" s="143"/>
      <c r="U7" s="37"/>
      <c r="V7" s="43" t="s">
        <v>21</v>
      </c>
      <c r="W7" s="107">
        <v>50000</v>
      </c>
      <c r="X7" s="106">
        <v>0.4</v>
      </c>
      <c r="Y7" s="106">
        <v>0.6</v>
      </c>
      <c r="Z7" s="106">
        <v>0.8</v>
      </c>
      <c r="AA7" s="106">
        <v>1</v>
      </c>
      <c r="AB7" s="106">
        <v>1.2</v>
      </c>
    </row>
    <row r="8" spans="1:28" ht="35.65" hidden="1" customHeight="1" outlineLevel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435" t="s">
        <v>22</v>
      </c>
      <c r="N8" s="437">
        <v>1000</v>
      </c>
      <c r="O8" s="106" t="s">
        <v>193</v>
      </c>
      <c r="P8" s="106" t="s">
        <v>194</v>
      </c>
      <c r="Q8" s="106" t="s">
        <v>195</v>
      </c>
      <c r="R8" s="106" t="s">
        <v>196</v>
      </c>
      <c r="S8" s="106" t="s">
        <v>192</v>
      </c>
      <c r="T8" s="143"/>
      <c r="U8" s="37"/>
      <c r="V8" s="43"/>
      <c r="W8" s="107"/>
      <c r="X8" s="106" t="s">
        <v>133</v>
      </c>
      <c r="Y8" s="106" t="s">
        <v>134</v>
      </c>
      <c r="Z8" s="106" t="s">
        <v>135</v>
      </c>
      <c r="AA8" s="106" t="s">
        <v>136</v>
      </c>
      <c r="AB8" s="106" t="s">
        <v>137</v>
      </c>
    </row>
    <row r="9" spans="1:28" ht="25.5" hidden="1" outlineLevel="1">
      <c r="A9" s="37"/>
      <c r="B9" s="38" t="s">
        <v>35</v>
      </c>
      <c r="C9" s="38"/>
      <c r="D9" s="37"/>
      <c r="E9" s="37"/>
      <c r="F9" s="37"/>
      <c r="G9" s="37"/>
      <c r="H9" s="37"/>
      <c r="I9" s="37"/>
      <c r="J9" s="37"/>
      <c r="K9" s="37"/>
      <c r="L9" s="37"/>
      <c r="M9" s="436"/>
      <c r="N9" s="438"/>
      <c r="O9" s="106">
        <v>0.4</v>
      </c>
      <c r="P9" s="106">
        <v>0.6</v>
      </c>
      <c r="Q9" s="106">
        <v>0.8</v>
      </c>
      <c r="R9" s="106">
        <v>1</v>
      </c>
      <c r="S9" s="106">
        <v>1.2</v>
      </c>
      <c r="T9" s="143"/>
      <c r="U9" s="37"/>
      <c r="V9" s="43" t="s">
        <v>130</v>
      </c>
      <c r="W9" s="107">
        <v>50000</v>
      </c>
      <c r="X9" s="106">
        <v>0.4</v>
      </c>
      <c r="Y9" s="106">
        <v>0.6</v>
      </c>
      <c r="Z9" s="106">
        <v>0.8</v>
      </c>
      <c r="AA9" s="106">
        <v>1</v>
      </c>
      <c r="AB9" s="106">
        <v>1.2</v>
      </c>
    </row>
    <row r="10" spans="1:28" ht="42" hidden="1" customHeight="1" outlineLevel="1">
      <c r="A10" s="37"/>
      <c r="B10" s="38" t="s">
        <v>36</v>
      </c>
      <c r="C10" s="38">
        <v>1.1000000000000001</v>
      </c>
      <c r="D10" s="37"/>
      <c r="E10" s="37"/>
      <c r="F10" s="37"/>
      <c r="G10" s="37"/>
      <c r="H10" s="37"/>
      <c r="I10" s="37"/>
      <c r="J10" s="37"/>
      <c r="K10" s="37"/>
      <c r="L10" s="37"/>
      <c r="M10" s="435" t="s">
        <v>40</v>
      </c>
      <c r="N10" s="437">
        <v>1000</v>
      </c>
      <c r="O10" s="106" t="s">
        <v>132</v>
      </c>
      <c r="P10" s="106" t="s">
        <v>189</v>
      </c>
      <c r="Q10" s="106" t="s">
        <v>190</v>
      </c>
      <c r="R10" s="106" t="s">
        <v>191</v>
      </c>
      <c r="S10" s="106" t="s">
        <v>63</v>
      </c>
      <c r="T10" s="143"/>
      <c r="U10" s="37"/>
      <c r="V10" s="43"/>
      <c r="W10" s="107"/>
      <c r="X10" s="106" t="s">
        <v>227</v>
      </c>
      <c r="Y10" s="106" t="s">
        <v>135</v>
      </c>
      <c r="Z10" s="106" t="s">
        <v>136</v>
      </c>
      <c r="AA10" s="106" t="s">
        <v>228</v>
      </c>
      <c r="AB10" s="106" t="s">
        <v>187</v>
      </c>
    </row>
    <row r="11" spans="1:28" ht="25.5" hidden="1" outlineLevel="1">
      <c r="A11" s="37"/>
      <c r="B11" s="38" t="s">
        <v>37</v>
      </c>
      <c r="C11" s="38">
        <v>1.2</v>
      </c>
      <c r="D11" s="37"/>
      <c r="E11" s="37"/>
      <c r="F11" s="37"/>
      <c r="G11" s="37"/>
      <c r="H11" s="37"/>
      <c r="I11" s="37"/>
      <c r="J11" s="37"/>
      <c r="K11" s="37"/>
      <c r="L11" s="37"/>
      <c r="M11" s="436"/>
      <c r="N11" s="438"/>
      <c r="O11" s="106">
        <v>0.4</v>
      </c>
      <c r="P11" s="106">
        <v>0.6</v>
      </c>
      <c r="Q11" s="106">
        <v>0.8</v>
      </c>
      <c r="R11" s="106">
        <v>1</v>
      </c>
      <c r="S11" s="106">
        <v>1.2</v>
      </c>
      <c r="T11" s="143"/>
      <c r="U11" s="37"/>
      <c r="V11" s="43" t="s">
        <v>131</v>
      </c>
      <c r="W11" s="107">
        <v>50000</v>
      </c>
      <c r="X11" s="106">
        <v>0.4</v>
      </c>
      <c r="Y11" s="106">
        <v>0.6</v>
      </c>
      <c r="Z11" s="106">
        <v>0.8</v>
      </c>
      <c r="AA11" s="106">
        <v>1</v>
      </c>
      <c r="AB11" s="106">
        <v>1.2</v>
      </c>
    </row>
    <row r="12" spans="1:28" hidden="1" outlineLevel="1">
      <c r="A12" s="37"/>
      <c r="B12" s="38" t="s">
        <v>38</v>
      </c>
      <c r="C12" s="38">
        <v>1.3</v>
      </c>
      <c r="D12" s="37"/>
      <c r="E12" s="37"/>
      <c r="F12" s="37"/>
      <c r="G12" s="37"/>
      <c r="H12" s="37"/>
      <c r="I12" s="37"/>
      <c r="J12" s="37"/>
      <c r="K12" s="37"/>
      <c r="L12" s="37"/>
      <c r="M12" s="435" t="s">
        <v>211</v>
      </c>
      <c r="N12" s="437"/>
      <c r="O12" s="146" t="s">
        <v>213</v>
      </c>
      <c r="P12" s="146" t="s">
        <v>214</v>
      </c>
      <c r="Q12" s="146" t="s">
        <v>215</v>
      </c>
      <c r="R12" s="146" t="s">
        <v>216</v>
      </c>
      <c r="S12" s="146" t="s">
        <v>217</v>
      </c>
      <c r="T12" s="37"/>
      <c r="U12" s="37"/>
      <c r="V12" s="435" t="s">
        <v>211</v>
      </c>
      <c r="W12" s="437"/>
      <c r="X12" s="146" t="s">
        <v>212</v>
      </c>
      <c r="Y12" s="146" t="s">
        <v>218</v>
      </c>
      <c r="Z12" s="146" t="s">
        <v>219</v>
      </c>
      <c r="AA12" s="146" t="s">
        <v>220</v>
      </c>
      <c r="AB12" s="146" t="s">
        <v>221</v>
      </c>
    </row>
    <row r="13" spans="1:28" hidden="1" outlineLevel="1">
      <c r="A13" s="37"/>
      <c r="B13" s="147"/>
      <c r="C13" s="147"/>
      <c r="D13" s="37"/>
      <c r="E13" s="37"/>
      <c r="F13" s="37"/>
      <c r="G13" s="37"/>
      <c r="H13" s="37"/>
      <c r="I13" s="37"/>
      <c r="J13" s="37"/>
      <c r="K13" s="37"/>
      <c r="L13" s="37"/>
      <c r="M13" s="436"/>
      <c r="N13" s="438"/>
      <c r="O13" s="146">
        <v>5000</v>
      </c>
      <c r="P13" s="146">
        <v>10000</v>
      </c>
      <c r="Q13" s="146">
        <v>15000</v>
      </c>
      <c r="R13" s="146">
        <v>20000</v>
      </c>
      <c r="S13" s="146">
        <v>25000</v>
      </c>
      <c r="T13" s="37"/>
      <c r="U13" s="37"/>
      <c r="V13" s="436"/>
      <c r="W13" s="438"/>
      <c r="X13" s="146">
        <v>5000</v>
      </c>
      <c r="Y13" s="146">
        <v>10000</v>
      </c>
      <c r="Z13" s="146">
        <v>20000</v>
      </c>
      <c r="AA13" s="146">
        <v>30000</v>
      </c>
      <c r="AB13" s="146">
        <v>40000</v>
      </c>
    </row>
    <row r="14" spans="1:28" hidden="1" outlineLevel="1">
      <c r="A14" s="37"/>
      <c r="B14" s="147"/>
      <c r="C14" s="14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8" collapsed="1"/>
    <row r="16" spans="1:28" s="10" customFormat="1" ht="14.65" customHeight="1">
      <c r="A16" s="398" t="s">
        <v>29</v>
      </c>
      <c r="B16" s="398" t="s">
        <v>23</v>
      </c>
      <c r="C16" s="398" t="s">
        <v>30</v>
      </c>
      <c r="D16" s="408" t="s">
        <v>24</v>
      </c>
      <c r="E16" s="409"/>
      <c r="F16" s="409"/>
      <c r="G16" s="417" t="s">
        <v>25</v>
      </c>
      <c r="H16" s="426"/>
      <c r="I16" s="426"/>
      <c r="J16" s="426"/>
      <c r="K16" s="426"/>
      <c r="L16" s="426"/>
      <c r="M16" s="426"/>
      <c r="N16" s="426"/>
      <c r="O16" s="426"/>
      <c r="P16" s="426"/>
      <c r="Q16" s="418"/>
      <c r="R16" s="453" t="s">
        <v>149</v>
      </c>
      <c r="S16" s="414" t="s">
        <v>288</v>
      </c>
      <c r="T16" s="430" t="s">
        <v>151</v>
      </c>
    </row>
    <row r="17" spans="1:30" s="10" customFormat="1" ht="17.100000000000001" customHeight="1">
      <c r="A17" s="398"/>
      <c r="B17" s="398"/>
      <c r="C17" s="398"/>
      <c r="D17" s="410"/>
      <c r="E17" s="411"/>
      <c r="F17" s="411"/>
      <c r="G17" s="427" t="s">
        <v>50</v>
      </c>
      <c r="H17" s="428"/>
      <c r="I17" s="428"/>
      <c r="J17" s="428"/>
      <c r="K17" s="428"/>
      <c r="L17" s="428"/>
      <c r="M17" s="428"/>
      <c r="N17" s="428"/>
      <c r="O17" s="428"/>
      <c r="P17" s="428"/>
      <c r="Q17" s="429"/>
      <c r="R17" s="454"/>
      <c r="S17" s="415"/>
      <c r="T17" s="430"/>
    </row>
    <row r="18" spans="1:30" s="10" customFormat="1" ht="16.149999999999999" customHeight="1">
      <c r="A18" s="398"/>
      <c r="B18" s="398"/>
      <c r="C18" s="398"/>
      <c r="D18" s="412"/>
      <c r="E18" s="413"/>
      <c r="F18" s="413"/>
      <c r="G18" s="417" t="s">
        <v>273</v>
      </c>
      <c r="H18" s="426"/>
      <c r="I18" s="426"/>
      <c r="J18" s="426"/>
      <c r="K18" s="418"/>
      <c r="L18" s="417"/>
      <c r="M18" s="418"/>
      <c r="N18" s="443"/>
      <c r="O18" s="444"/>
      <c r="P18" s="456" t="s">
        <v>52</v>
      </c>
      <c r="Q18" s="453" t="s">
        <v>49</v>
      </c>
      <c r="R18" s="454"/>
      <c r="S18" s="415"/>
      <c r="T18" s="430"/>
    </row>
    <row r="19" spans="1:30" s="10" customFormat="1" ht="97.5" customHeight="1">
      <c r="A19" s="398"/>
      <c r="B19" s="398"/>
      <c r="C19" s="398"/>
      <c r="D19" s="344" t="s">
        <v>27</v>
      </c>
      <c r="E19" s="344" t="s">
        <v>32</v>
      </c>
      <c r="F19" s="344" t="s">
        <v>43</v>
      </c>
      <c r="G19" s="344" t="s">
        <v>238</v>
      </c>
      <c r="H19" s="344" t="s">
        <v>338</v>
      </c>
      <c r="I19" s="345" t="s">
        <v>274</v>
      </c>
      <c r="J19" s="344" t="s">
        <v>110</v>
      </c>
      <c r="K19" s="345"/>
      <c r="L19" s="344"/>
      <c r="M19" s="345"/>
      <c r="N19" s="341" t="s">
        <v>376</v>
      </c>
      <c r="O19" s="150"/>
      <c r="P19" s="457"/>
      <c r="Q19" s="455"/>
      <c r="R19" s="455"/>
      <c r="S19" s="416"/>
      <c r="T19" s="430"/>
    </row>
    <row r="20" spans="1:30">
      <c r="A20" s="154">
        <v>1</v>
      </c>
      <c r="B20" s="154" t="s">
        <v>143</v>
      </c>
      <c r="C20" s="154" t="s">
        <v>69</v>
      </c>
      <c r="D20" s="154">
        <f>D52+D54</f>
        <v>130</v>
      </c>
      <c r="E20" s="155"/>
      <c r="F20" s="155">
        <v>150000</v>
      </c>
      <c r="G20" s="155">
        <f>M52+M54</f>
        <v>51540781.210000001</v>
      </c>
      <c r="H20" s="155">
        <f>N52+N54</f>
        <v>40331494.060000002</v>
      </c>
      <c r="I20" s="148">
        <f>H20-G20</f>
        <v>-11209287.149999999</v>
      </c>
      <c r="J20" s="346">
        <v>0.02</v>
      </c>
      <c r="K20" s="148"/>
      <c r="L20" s="346"/>
      <c r="M20" s="148"/>
      <c r="N20" s="148">
        <v>0</v>
      </c>
      <c r="O20" s="148"/>
      <c r="P20" s="157">
        <f>I20*J20*N20</f>
        <v>0</v>
      </c>
      <c r="Q20" s="156">
        <f>P20</f>
        <v>0</v>
      </c>
      <c r="R20" s="156">
        <f>F20+Q20</f>
        <v>150000</v>
      </c>
      <c r="S20" s="347"/>
      <c r="T20" s="155">
        <f>Q20-S20</f>
        <v>0</v>
      </c>
      <c r="V20" s="12"/>
    </row>
    <row r="21" spans="1:30">
      <c r="A21" s="154">
        <v>2</v>
      </c>
      <c r="B21" s="154" t="s">
        <v>144</v>
      </c>
      <c r="C21" s="154" t="s">
        <v>70</v>
      </c>
      <c r="D21" s="154">
        <f>D55+D56</f>
        <v>135</v>
      </c>
      <c r="E21" s="155"/>
      <c r="F21" s="155">
        <v>150000</v>
      </c>
      <c r="G21" s="155">
        <f>M55+M56</f>
        <v>49523193.489999995</v>
      </c>
      <c r="H21" s="155">
        <f>N55+N56</f>
        <v>43846195.899999999</v>
      </c>
      <c r="I21" s="148">
        <f>H21-G21</f>
        <v>-5676997.5899999961</v>
      </c>
      <c r="J21" s="346">
        <v>0.02</v>
      </c>
      <c r="K21" s="148"/>
      <c r="L21" s="346"/>
      <c r="M21" s="148"/>
      <c r="N21" s="148">
        <v>0</v>
      </c>
      <c r="O21" s="148"/>
      <c r="P21" s="157">
        <f>I21*J21*N21</f>
        <v>0</v>
      </c>
      <c r="Q21" s="156">
        <f>P21</f>
        <v>0</v>
      </c>
      <c r="R21" s="156">
        <f>F21+Q21</f>
        <v>150000</v>
      </c>
      <c r="S21" s="347"/>
      <c r="T21" s="155">
        <f>Q21-S21</f>
        <v>0</v>
      </c>
      <c r="V21" s="12"/>
    </row>
    <row r="22" spans="1:30" ht="31.5">
      <c r="A22" s="154">
        <v>3</v>
      </c>
      <c r="B22" s="154" t="s">
        <v>377</v>
      </c>
      <c r="C22" s="348" t="s">
        <v>378</v>
      </c>
      <c r="D22" s="154">
        <f>D53+D57</f>
        <v>92</v>
      </c>
      <c r="E22" s="155"/>
      <c r="F22" s="155">
        <f>'Д4-ФОТ '!Y9</f>
        <v>150000</v>
      </c>
      <c r="G22" s="155"/>
      <c r="H22" s="155"/>
      <c r="I22" s="148"/>
      <c r="J22" s="346">
        <v>0.02</v>
      </c>
      <c r="K22" s="148"/>
      <c r="L22" s="346"/>
      <c r="M22" s="148"/>
      <c r="N22" s="148">
        <v>0</v>
      </c>
      <c r="O22" s="148"/>
      <c r="P22" s="157">
        <f>I22*J22*N22</f>
        <v>0</v>
      </c>
      <c r="Q22" s="156">
        <f>P22</f>
        <v>0</v>
      </c>
      <c r="R22" s="156">
        <f>F22+Q22</f>
        <v>150000</v>
      </c>
      <c r="S22" s="347"/>
      <c r="T22" s="155">
        <f>Q22-S22</f>
        <v>0</v>
      </c>
      <c r="V22" s="12"/>
    </row>
    <row r="23" spans="1:30">
      <c r="A23" s="164"/>
      <c r="B23" s="165"/>
      <c r="C23" s="166"/>
      <c r="D23" s="161">
        <f>SUM(D20:D22)</f>
        <v>357</v>
      </c>
      <c r="E23" s="161">
        <f t="shared" ref="E23" si="0">SUM(E20:E22)</f>
        <v>0</v>
      </c>
      <c r="F23" s="162">
        <f>SUM(F20:F22)</f>
        <v>450000</v>
      </c>
      <c r="G23" s="162">
        <f>SUM(G20:G22)</f>
        <v>101063974.69999999</v>
      </c>
      <c r="H23" s="162">
        <f>SUM(H20:H22)</f>
        <v>84177689.960000008</v>
      </c>
      <c r="I23" s="162">
        <f>SUM(I20:I22)</f>
        <v>-16886284.739999995</v>
      </c>
      <c r="J23" s="167"/>
      <c r="K23" s="168"/>
      <c r="L23" s="167"/>
      <c r="M23" s="168"/>
      <c r="N23" s="169"/>
      <c r="Q23" s="163">
        <f>SUM(Q20:Q22)</f>
        <v>0</v>
      </c>
      <c r="R23" s="163">
        <f t="shared" ref="R23:T23" si="1">SUM(R20:R22)</f>
        <v>450000</v>
      </c>
      <c r="S23" s="163">
        <f t="shared" si="1"/>
        <v>0</v>
      </c>
      <c r="T23" s="163">
        <f t="shared" si="1"/>
        <v>0</v>
      </c>
      <c r="U23" s="163"/>
      <c r="V23" s="163"/>
    </row>
    <row r="24" spans="1:30">
      <c r="A24" s="170"/>
      <c r="B24" s="170"/>
      <c r="C24" s="178"/>
      <c r="D24" s="170"/>
      <c r="E24" s="171"/>
      <c r="F24" s="171"/>
      <c r="G24" s="171"/>
      <c r="H24" s="179"/>
      <c r="I24" s="180"/>
      <c r="J24" s="179"/>
      <c r="K24" s="180"/>
      <c r="L24" s="179"/>
      <c r="M24" s="180"/>
      <c r="N24" s="181"/>
      <c r="O24" s="170"/>
      <c r="P24" s="170"/>
      <c r="Q24" s="177"/>
      <c r="R24" s="177"/>
      <c r="S24" s="177"/>
      <c r="T24" s="177"/>
      <c r="U24" s="177"/>
      <c r="V24" s="177"/>
    </row>
    <row r="25" spans="1:30" hidden="1">
      <c r="A25" s="3"/>
      <c r="B25" s="182" t="s">
        <v>236</v>
      </c>
      <c r="C25" s="160"/>
      <c r="D25" s="170"/>
      <c r="E25" s="171"/>
      <c r="F25" s="171"/>
      <c r="G25" s="172"/>
      <c r="H25" s="173"/>
      <c r="I25" s="174"/>
      <c r="J25" s="173"/>
      <c r="K25" s="174"/>
      <c r="L25" s="173"/>
      <c r="M25" s="174"/>
      <c r="N25" s="175"/>
      <c r="Q25" s="176"/>
      <c r="R25" s="176"/>
      <c r="S25" s="176"/>
      <c r="T25" s="176"/>
      <c r="U25" s="176"/>
      <c r="V25" s="177"/>
    </row>
    <row r="26" spans="1:30" s="10" customFormat="1" ht="14.65" hidden="1" customHeight="1">
      <c r="A26" s="375" t="s">
        <v>29</v>
      </c>
      <c r="B26" s="375" t="s">
        <v>23</v>
      </c>
      <c r="C26" s="419" t="s">
        <v>30</v>
      </c>
      <c r="D26" s="399" t="s">
        <v>24</v>
      </c>
      <c r="E26" s="400"/>
      <c r="F26" s="401"/>
      <c r="G26" s="447" t="s">
        <v>25</v>
      </c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9"/>
      <c r="V26" s="395" t="s">
        <v>198</v>
      </c>
      <c r="W26" s="379" t="s">
        <v>149</v>
      </c>
      <c r="X26" s="386"/>
      <c r="Y26" s="392"/>
      <c r="Z26" s="392"/>
      <c r="AA26" s="386"/>
      <c r="AB26" s="386"/>
    </row>
    <row r="27" spans="1:30" s="10" customFormat="1" ht="17.100000000000001" hidden="1" customHeight="1" thickBot="1">
      <c r="A27" s="375"/>
      <c r="B27" s="375"/>
      <c r="C27" s="375"/>
      <c r="D27" s="402"/>
      <c r="E27" s="403"/>
      <c r="F27" s="404"/>
      <c r="G27" s="450" t="s">
        <v>50</v>
      </c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2"/>
      <c r="V27" s="396"/>
      <c r="W27" s="381"/>
      <c r="X27" s="387"/>
      <c r="Y27" s="393"/>
      <c r="Z27" s="393"/>
      <c r="AA27" s="387"/>
      <c r="AB27" s="387"/>
    </row>
    <row r="28" spans="1:30" s="10" customFormat="1" ht="16.149999999999999" hidden="1" customHeight="1" thickBot="1">
      <c r="A28" s="375"/>
      <c r="B28" s="375"/>
      <c r="C28" s="375"/>
      <c r="D28" s="405"/>
      <c r="E28" s="406"/>
      <c r="F28" s="407"/>
      <c r="G28" s="420" t="str">
        <f>M7</f>
        <v>Пробег</v>
      </c>
      <c r="H28" s="421"/>
      <c r="I28" s="422"/>
      <c r="J28" s="423" t="str">
        <f>M8</f>
        <v>Затраты на ТО и Р</v>
      </c>
      <c r="K28" s="424"/>
      <c r="L28" s="424"/>
      <c r="M28" s="425"/>
      <c r="N28" s="389" t="str">
        <f>M10</f>
        <v>Укомплектованность (отношение явочного коэф водителя к кол-ву ТС)</v>
      </c>
      <c r="O28" s="390"/>
      <c r="P28" s="391"/>
      <c r="Q28" s="443" t="s">
        <v>211</v>
      </c>
      <c r="R28" s="444"/>
      <c r="S28" s="113" t="s">
        <v>52</v>
      </c>
      <c r="T28" s="445" t="s">
        <v>223</v>
      </c>
      <c r="U28" s="115" t="s">
        <v>49</v>
      </c>
      <c r="V28" s="396"/>
      <c r="W28" s="381"/>
      <c r="X28" s="387"/>
      <c r="Y28" s="393"/>
      <c r="Z28" s="393"/>
      <c r="AA28" s="387"/>
      <c r="AB28" s="387"/>
    </row>
    <row r="29" spans="1:30" s="10" customFormat="1" ht="114.6" hidden="1" customHeight="1" thickBot="1">
      <c r="A29" s="375"/>
      <c r="B29" s="375"/>
      <c r="C29" s="375"/>
      <c r="D29" s="52" t="s">
        <v>27</v>
      </c>
      <c r="E29" s="14" t="s">
        <v>32</v>
      </c>
      <c r="F29" s="14" t="s">
        <v>43</v>
      </c>
      <c r="G29" s="185" t="s">
        <v>46</v>
      </c>
      <c r="H29" s="185" t="s">
        <v>47</v>
      </c>
      <c r="I29" s="186" t="s">
        <v>51</v>
      </c>
      <c r="J29" s="191" t="s">
        <v>26</v>
      </c>
      <c r="K29" s="191" t="s">
        <v>64</v>
      </c>
      <c r="L29" s="191" t="s">
        <v>183</v>
      </c>
      <c r="M29" s="192" t="s">
        <v>51</v>
      </c>
      <c r="N29" s="199" t="s">
        <v>64</v>
      </c>
      <c r="O29" s="199" t="s">
        <v>47</v>
      </c>
      <c r="P29" s="200" t="s">
        <v>51</v>
      </c>
      <c r="Q29" s="149" t="s">
        <v>222</v>
      </c>
      <c r="R29" s="150" t="s">
        <v>51</v>
      </c>
      <c r="S29" s="114"/>
      <c r="T29" s="446"/>
      <c r="U29" s="116"/>
      <c r="V29" s="397"/>
      <c r="W29" s="380"/>
      <c r="X29" s="388"/>
      <c r="Y29" s="394"/>
      <c r="Z29" s="394"/>
      <c r="AA29" s="388"/>
      <c r="AB29" s="388"/>
    </row>
    <row r="30" spans="1:30" hidden="1">
      <c r="A30" s="109">
        <v>1</v>
      </c>
      <c r="B30" s="109" t="s">
        <v>105</v>
      </c>
      <c r="C30" s="109" t="s">
        <v>158</v>
      </c>
      <c r="D30" s="109">
        <v>38</v>
      </c>
      <c r="E30" s="111">
        <v>1000</v>
      </c>
      <c r="F30" s="111">
        <f>D30*E30</f>
        <v>38000</v>
      </c>
      <c r="G30" s="184">
        <v>15651.36</v>
      </c>
      <c r="H30" s="187">
        <f t="shared" ref="H30:H38" si="2">G30/$G$6</f>
        <v>0.84147096774193553</v>
      </c>
      <c r="I30" s="188">
        <f t="shared" ref="I30:I40" si="3">$N$7*IF(H30&lt;93%,$O$7,IF(H30&lt;95%,$P$7,IF(H30&lt;98%,$Q$7,IF(H30&lt;100%,$R$7,IF(H30&gt;=100%,$S$7)))))</f>
        <v>400</v>
      </c>
      <c r="J30" s="193">
        <f>4.83*2</f>
        <v>9.66</v>
      </c>
      <c r="K30" s="193">
        <f>6.29*2</f>
        <v>12.58</v>
      </c>
      <c r="L30" s="194">
        <f>K30/J30</f>
        <v>1.3022774327122153</v>
      </c>
      <c r="M30" s="195">
        <f t="shared" ref="M30:M35" si="4">$N$8*IF(L30&gt;130%,$O$9,IF(L30&gt;120%,$P$9,IF(L30&gt;110%,$Q$9,IF(L30&gt;100%,$R$9,IF(L30&lt;=100%,S9)))))</f>
        <v>400</v>
      </c>
      <c r="N30" s="201">
        <v>1.08</v>
      </c>
      <c r="O30" s="202">
        <f t="shared" ref="O30" si="5">N30/$F$6</f>
        <v>0.72000000000000008</v>
      </c>
      <c r="P30" s="203">
        <f t="shared" ref="P30" si="6">$N$10*IF(O30&lt;90%,$O$11,IF(O30&lt;93%,$P$11,IF(O30&lt;96%,$Q$11,IF(O30&lt;100%,$R$11,IF(O30&gt;=100%,$S$11)))))</f>
        <v>400</v>
      </c>
      <c r="Q30" s="148">
        <v>1</v>
      </c>
      <c r="R30" s="148">
        <f t="shared" ref="R30:R40" si="7">IF(Q30&lt;1,0,IF(Q30&lt;=3,$O$13,IF(Q30&lt;=5,$P$13,IF(Q30&lt;=7,$Q$13,IF(Q30&lt;=10,$R$13,IF(Q30&gt;10,$S$13))))))</f>
        <v>5000</v>
      </c>
      <c r="S30" s="33">
        <f t="shared" ref="S30:S40" si="8">I30+M30+P30</f>
        <v>1200</v>
      </c>
      <c r="T30" s="33"/>
      <c r="U30" s="23">
        <f t="shared" ref="U30:U40" si="9">S30*D30+R30+T30</f>
        <v>50600</v>
      </c>
      <c r="V30" s="23"/>
      <c r="W30" s="23">
        <f>F30+U30</f>
        <v>88600</v>
      </c>
      <c r="X30" s="144"/>
      <c r="Y30" s="144"/>
      <c r="Z30" s="144"/>
      <c r="AA30" s="144"/>
      <c r="AB30" s="144"/>
      <c r="AD30" s="12" t="e">
        <f>X30+Y30+Z30+AA30+AB30+#REF!</f>
        <v>#REF!</v>
      </c>
    </row>
    <row r="31" spans="1:30" hidden="1">
      <c r="A31" s="109">
        <v>3</v>
      </c>
      <c r="B31" s="109" t="s">
        <v>202</v>
      </c>
      <c r="C31" s="109" t="s">
        <v>197</v>
      </c>
      <c r="D31" s="109">
        <v>40</v>
      </c>
      <c r="E31" s="111"/>
      <c r="F31" s="152">
        <v>50000</v>
      </c>
      <c r="G31" s="184">
        <v>17362.38</v>
      </c>
      <c r="H31" s="187">
        <f t="shared" ref="H31" si="10">G31/$G$6</f>
        <v>0.93346129032258074</v>
      </c>
      <c r="I31" s="188">
        <f t="shared" si="3"/>
        <v>600</v>
      </c>
      <c r="J31" s="193">
        <f>4.41*2</f>
        <v>8.82</v>
      </c>
      <c r="K31" s="193">
        <f>5.15*2</f>
        <v>10.3</v>
      </c>
      <c r="L31" s="194">
        <f>K31/J31</f>
        <v>1.1678004535147393</v>
      </c>
      <c r="M31" s="195">
        <f t="shared" si="4"/>
        <v>800</v>
      </c>
      <c r="N31" s="201">
        <v>1.21</v>
      </c>
      <c r="O31" s="202">
        <f t="shared" ref="O31:O40" si="11">N31/$F$6</f>
        <v>0.80666666666666664</v>
      </c>
      <c r="P31" s="203">
        <f t="shared" ref="P31:P40" si="12">$N$10*IF(O31&lt;90%,$O$11,IF(O31&lt;93%,$P$11,IF(O31&lt;96%,$Q$11,IF(O31&lt;100%,$R$11,IF(O31&gt;=100%,$S$11)))))</f>
        <v>400</v>
      </c>
      <c r="Q31" s="148">
        <v>1</v>
      </c>
      <c r="R31" s="148">
        <f t="shared" si="7"/>
        <v>5000</v>
      </c>
      <c r="S31" s="33">
        <f t="shared" si="8"/>
        <v>1800</v>
      </c>
      <c r="T31" s="33"/>
      <c r="U31" s="23">
        <f t="shared" si="9"/>
        <v>77000</v>
      </c>
      <c r="V31" s="23"/>
      <c r="W31" s="23">
        <f>F31+U31+V31</f>
        <v>127000</v>
      </c>
      <c r="X31" s="144"/>
      <c r="Y31" s="144"/>
      <c r="Z31" s="144"/>
      <c r="AA31" s="144"/>
      <c r="AB31" s="144"/>
      <c r="AC31" s="12"/>
      <c r="AD31" s="12" t="e">
        <f>X31+Y31+Z31+AA31+AB31+#REF!</f>
        <v>#REF!</v>
      </c>
    </row>
    <row r="32" spans="1:30" hidden="1">
      <c r="A32" s="109">
        <v>11</v>
      </c>
      <c r="B32" s="109" t="s">
        <v>203</v>
      </c>
      <c r="C32" s="109" t="s">
        <v>232</v>
      </c>
      <c r="D32" s="109">
        <v>21</v>
      </c>
      <c r="E32" s="111"/>
      <c r="F32" s="152">
        <v>50000</v>
      </c>
      <c r="G32" s="184">
        <v>17312.240000000002</v>
      </c>
      <c r="H32" s="187">
        <f>G32/$G$6</f>
        <v>0.93076559139784953</v>
      </c>
      <c r="I32" s="188">
        <f t="shared" si="3"/>
        <v>600</v>
      </c>
      <c r="J32" s="193">
        <f>4.44*2</f>
        <v>8.8800000000000008</v>
      </c>
      <c r="K32" s="193">
        <f>6.63*2</f>
        <v>13.26</v>
      </c>
      <c r="L32" s="194">
        <f t="shared" ref="L32:L40" si="13">K32/J32</f>
        <v>1.493243243243243</v>
      </c>
      <c r="M32" s="195">
        <f t="shared" si="4"/>
        <v>400</v>
      </c>
      <c r="N32" s="201">
        <v>1.38</v>
      </c>
      <c r="O32" s="202">
        <f t="shared" si="11"/>
        <v>0.91999999999999993</v>
      </c>
      <c r="P32" s="203">
        <f t="shared" si="12"/>
        <v>600</v>
      </c>
      <c r="Q32" s="148">
        <v>0</v>
      </c>
      <c r="R32" s="148">
        <f t="shared" si="7"/>
        <v>0</v>
      </c>
      <c r="S32" s="33">
        <f t="shared" si="8"/>
        <v>1600</v>
      </c>
      <c r="T32" s="33"/>
      <c r="U32" s="23">
        <f t="shared" si="9"/>
        <v>33600</v>
      </c>
      <c r="V32" s="23"/>
      <c r="W32" s="23">
        <f>F32+U32</f>
        <v>83600</v>
      </c>
      <c r="X32" s="144"/>
      <c r="Y32" s="144"/>
      <c r="Z32" s="144"/>
      <c r="AA32" s="144"/>
      <c r="AB32" s="144"/>
      <c r="AC32" s="12"/>
      <c r="AD32" s="12" t="e">
        <f>X32+Y32+Z32+AA32+AB32+#REF!</f>
        <v>#REF!</v>
      </c>
    </row>
    <row r="33" spans="1:34" hidden="1">
      <c r="A33" s="109">
        <v>14</v>
      </c>
      <c r="B33" s="109" t="s">
        <v>204</v>
      </c>
      <c r="C33" s="109" t="s">
        <v>200</v>
      </c>
      <c r="D33" s="109">
        <v>25</v>
      </c>
      <c r="E33" s="111"/>
      <c r="F33" s="152">
        <v>47500</v>
      </c>
      <c r="G33" s="184">
        <v>15907.47</v>
      </c>
      <c r="H33" s="187">
        <f t="shared" ref="H33" si="14">G33/$G$6</f>
        <v>0.85524032258064508</v>
      </c>
      <c r="I33" s="188">
        <f t="shared" si="3"/>
        <v>400</v>
      </c>
      <c r="J33" s="193">
        <f>3.5*2</f>
        <v>7</v>
      </c>
      <c r="K33" s="193">
        <f>6.47*2</f>
        <v>12.94</v>
      </c>
      <c r="L33" s="194">
        <f t="shared" si="13"/>
        <v>1.8485714285714285</v>
      </c>
      <c r="M33" s="195">
        <f t="shared" si="4"/>
        <v>400</v>
      </c>
      <c r="N33" s="201">
        <v>1.08</v>
      </c>
      <c r="O33" s="202">
        <f t="shared" si="11"/>
        <v>0.72000000000000008</v>
      </c>
      <c r="P33" s="203">
        <f t="shared" si="12"/>
        <v>400</v>
      </c>
      <c r="Q33" s="148">
        <v>0</v>
      </c>
      <c r="R33" s="148">
        <f t="shared" si="7"/>
        <v>0</v>
      </c>
      <c r="S33" s="33">
        <f t="shared" si="8"/>
        <v>1200</v>
      </c>
      <c r="T33" s="23"/>
      <c r="U33" s="23">
        <f t="shared" si="9"/>
        <v>30000</v>
      </c>
      <c r="V33" s="23"/>
      <c r="W33" s="23">
        <f>F33+U33+V33</f>
        <v>77500</v>
      </c>
      <c r="X33" s="144"/>
      <c r="Y33" s="144"/>
      <c r="Z33" s="144"/>
      <c r="AA33" s="144"/>
      <c r="AB33" s="144"/>
      <c r="AD33" s="12" t="e">
        <f>X33+Y33+Z33+AA33+AB33+#REF!</f>
        <v>#REF!</v>
      </c>
    </row>
    <row r="34" spans="1:34" hidden="1">
      <c r="A34" s="109">
        <v>6</v>
      </c>
      <c r="B34" s="109" t="s">
        <v>146</v>
      </c>
      <c r="C34" s="109" t="s">
        <v>199</v>
      </c>
      <c r="D34" s="109">
        <v>18</v>
      </c>
      <c r="E34" s="111"/>
      <c r="F34" s="152">
        <v>50000</v>
      </c>
      <c r="G34" s="184">
        <v>8345.5</v>
      </c>
      <c r="H34" s="187">
        <f>G34/$G$6</f>
        <v>0.44868279569892472</v>
      </c>
      <c r="I34" s="188">
        <f t="shared" si="3"/>
        <v>400</v>
      </c>
      <c r="J34" s="193">
        <f>3.97*2</f>
        <v>7.94</v>
      </c>
      <c r="K34" s="193">
        <f>6.24*2</f>
        <v>12.48</v>
      </c>
      <c r="L34" s="194">
        <f t="shared" si="13"/>
        <v>1.5717884130982367</v>
      </c>
      <c r="M34" s="195">
        <f t="shared" si="4"/>
        <v>400</v>
      </c>
      <c r="N34" s="201">
        <v>0.68</v>
      </c>
      <c r="O34" s="202">
        <f t="shared" si="11"/>
        <v>0.45333333333333337</v>
      </c>
      <c r="P34" s="203">
        <f t="shared" si="12"/>
        <v>400</v>
      </c>
      <c r="Q34" s="148">
        <v>0</v>
      </c>
      <c r="R34" s="148">
        <f t="shared" si="7"/>
        <v>0</v>
      </c>
      <c r="S34" s="33">
        <f t="shared" si="8"/>
        <v>1200</v>
      </c>
      <c r="T34" s="33"/>
      <c r="U34" s="23">
        <f t="shared" si="9"/>
        <v>21600</v>
      </c>
      <c r="V34" s="23"/>
      <c r="W34" s="23">
        <f>F34+U34+V34</f>
        <v>71600</v>
      </c>
      <c r="X34" s="144"/>
      <c r="Y34" s="144"/>
      <c r="Z34" s="144"/>
      <c r="AA34" s="144"/>
      <c r="AB34" s="144"/>
      <c r="AD34" s="12" t="e">
        <f>X34+Y34+Z34+AA34+AB34+#REF!</f>
        <v>#REF!</v>
      </c>
    </row>
    <row r="35" spans="1:34" hidden="1">
      <c r="A35" s="109"/>
      <c r="B35" s="109" t="s">
        <v>209</v>
      </c>
      <c r="C35" s="109" t="s">
        <v>229</v>
      </c>
      <c r="D35" s="109">
        <v>39</v>
      </c>
      <c r="E35" s="111">
        <v>1000</v>
      </c>
      <c r="F35" s="152">
        <f>D35*E35</f>
        <v>39000</v>
      </c>
      <c r="G35" s="184">
        <v>12044.65</v>
      </c>
      <c r="H35" s="187">
        <f>G35/$G$6</f>
        <v>0.64756182795698924</v>
      </c>
      <c r="I35" s="188">
        <f t="shared" si="3"/>
        <v>400</v>
      </c>
      <c r="J35" s="193">
        <f>4.78*2</f>
        <v>9.56</v>
      </c>
      <c r="K35" s="193">
        <f>5.88*2</f>
        <v>11.76</v>
      </c>
      <c r="L35" s="194">
        <f t="shared" si="13"/>
        <v>1.2301255230125523</v>
      </c>
      <c r="M35" s="195">
        <f t="shared" si="4"/>
        <v>600</v>
      </c>
      <c r="N35" s="201">
        <v>0.9</v>
      </c>
      <c r="O35" s="202">
        <f t="shared" si="11"/>
        <v>0.6</v>
      </c>
      <c r="P35" s="203">
        <f t="shared" si="12"/>
        <v>400</v>
      </c>
      <c r="Q35" s="148">
        <v>2</v>
      </c>
      <c r="R35" s="148">
        <f t="shared" si="7"/>
        <v>5000</v>
      </c>
      <c r="S35" s="33">
        <f t="shared" si="8"/>
        <v>1400</v>
      </c>
      <c r="T35" s="33"/>
      <c r="U35" s="23">
        <f t="shared" si="9"/>
        <v>59600</v>
      </c>
      <c r="V35" s="23"/>
      <c r="W35" s="23">
        <f>F35+U35</f>
        <v>98600</v>
      </c>
      <c r="X35" s="144"/>
      <c r="Y35" s="144"/>
      <c r="Z35" s="144"/>
      <c r="AA35" s="144"/>
      <c r="AB35" s="144"/>
      <c r="AD35" s="12"/>
    </row>
    <row r="36" spans="1:34" hidden="1">
      <c r="A36" s="109">
        <v>2</v>
      </c>
      <c r="B36" s="109" t="s">
        <v>145</v>
      </c>
      <c r="C36" s="109" t="s">
        <v>104</v>
      </c>
      <c r="D36" s="109"/>
      <c r="E36" s="111"/>
      <c r="F36" s="152">
        <v>13791.4</v>
      </c>
      <c r="G36" s="184"/>
      <c r="H36" s="187">
        <f t="shared" si="2"/>
        <v>0</v>
      </c>
      <c r="I36" s="188">
        <f t="shared" si="3"/>
        <v>400</v>
      </c>
      <c r="J36" s="193"/>
      <c r="K36" s="193"/>
      <c r="L36" s="194"/>
      <c r="M36" s="195"/>
      <c r="N36" s="201"/>
      <c r="O36" s="202">
        <f t="shared" si="11"/>
        <v>0</v>
      </c>
      <c r="P36" s="203">
        <f t="shared" si="12"/>
        <v>400</v>
      </c>
      <c r="Q36" s="148">
        <v>0</v>
      </c>
      <c r="R36" s="148">
        <f t="shared" si="7"/>
        <v>0</v>
      </c>
      <c r="S36" s="33">
        <f t="shared" si="8"/>
        <v>800</v>
      </c>
      <c r="T36" s="33"/>
      <c r="U36" s="23">
        <f t="shared" si="9"/>
        <v>0</v>
      </c>
      <c r="V36" s="23"/>
      <c r="W36" s="23">
        <f>F36+U36+V36</f>
        <v>13791.4</v>
      </c>
      <c r="X36" s="144"/>
      <c r="Y36" s="144"/>
      <c r="Z36" s="144"/>
      <c r="AA36" s="144"/>
      <c r="AB36" s="144"/>
      <c r="AD36" s="12" t="e">
        <f>X36+Y36+Z36+AA36+AB36+#REF!</f>
        <v>#REF!</v>
      </c>
    </row>
    <row r="37" spans="1:34" hidden="1">
      <c r="A37" s="110">
        <v>5</v>
      </c>
      <c r="B37" s="110" t="s">
        <v>95</v>
      </c>
      <c r="C37" s="110" t="s">
        <v>142</v>
      </c>
      <c r="D37" s="110">
        <v>61</v>
      </c>
      <c r="E37" s="112">
        <v>1000</v>
      </c>
      <c r="F37" s="112">
        <f>D37*E37</f>
        <v>61000</v>
      </c>
      <c r="G37" s="184">
        <v>18253.55</v>
      </c>
      <c r="H37" s="187">
        <f t="shared" si="2"/>
        <v>0.9813736559139784</v>
      </c>
      <c r="I37" s="188">
        <f t="shared" si="3"/>
        <v>1000</v>
      </c>
      <c r="J37" s="193">
        <f>4.93*2</f>
        <v>9.86</v>
      </c>
      <c r="K37" s="193">
        <f>5.3*2</f>
        <v>10.6</v>
      </c>
      <c r="L37" s="194">
        <f t="shared" si="13"/>
        <v>1.0750507099391482</v>
      </c>
      <c r="M37" s="195">
        <f>$N$8*IF(L37&gt;130%,$O$9,IF(L37&gt;120%,$P$9,IF(L37&gt;110%,$Q$9,IF(L37&gt;100%,$R$9,IF(L37&lt;=100%,S16)))))</f>
        <v>1000</v>
      </c>
      <c r="N37" s="201">
        <v>1.39</v>
      </c>
      <c r="O37" s="202">
        <f t="shared" si="11"/>
        <v>0.92666666666666664</v>
      </c>
      <c r="P37" s="203">
        <f t="shared" si="12"/>
        <v>600</v>
      </c>
      <c r="Q37" s="148">
        <v>3</v>
      </c>
      <c r="R37" s="148">
        <f t="shared" si="7"/>
        <v>5000</v>
      </c>
      <c r="S37" s="33">
        <f t="shared" si="8"/>
        <v>2600</v>
      </c>
      <c r="T37" s="33"/>
      <c r="U37" s="23">
        <f t="shared" si="9"/>
        <v>163600</v>
      </c>
      <c r="V37" s="23"/>
      <c r="W37" s="23">
        <f>F37+U37</f>
        <v>224600</v>
      </c>
      <c r="X37" s="144"/>
      <c r="Y37" s="144"/>
      <c r="Z37" s="144"/>
      <c r="AA37" s="144"/>
      <c r="AB37" s="144"/>
      <c r="AD37" s="12" t="e">
        <f>X37+Y37+Z37+AA37+AB37+#REF!</f>
        <v>#REF!</v>
      </c>
    </row>
    <row r="38" spans="1:34" hidden="1">
      <c r="A38" s="110">
        <v>7</v>
      </c>
      <c r="B38" s="110" t="s">
        <v>148</v>
      </c>
      <c r="C38" s="110" t="s">
        <v>108</v>
      </c>
      <c r="D38" s="110">
        <v>30</v>
      </c>
      <c r="E38" s="112"/>
      <c r="F38" s="153">
        <v>50000</v>
      </c>
      <c r="G38" s="184">
        <v>16762.82</v>
      </c>
      <c r="H38" s="187">
        <f t="shared" si="2"/>
        <v>0.90122688172043008</v>
      </c>
      <c r="I38" s="188">
        <f t="shared" si="3"/>
        <v>400</v>
      </c>
      <c r="J38" s="193">
        <f>3.95*2</f>
        <v>7.9</v>
      </c>
      <c r="K38" s="193">
        <f>4.85*2</f>
        <v>9.6999999999999993</v>
      </c>
      <c r="L38" s="194">
        <f t="shared" si="13"/>
        <v>1.2278481012658227</v>
      </c>
      <c r="M38" s="195">
        <f>$N$8*IF(L38&gt;130%,$O$9,IF(L38&gt;120%,$P$9,IF(L38&gt;110%,$Q$9,IF(L38&gt;100%,$R$9,IF(L38&lt;=100%,S17)))))</f>
        <v>600</v>
      </c>
      <c r="N38" s="201">
        <v>1.1599999999999999</v>
      </c>
      <c r="O38" s="202">
        <f t="shared" si="11"/>
        <v>0.77333333333333332</v>
      </c>
      <c r="P38" s="203">
        <f t="shared" si="12"/>
        <v>400</v>
      </c>
      <c r="Q38" s="148">
        <v>0</v>
      </c>
      <c r="R38" s="148">
        <f t="shared" si="7"/>
        <v>0</v>
      </c>
      <c r="S38" s="33">
        <f t="shared" si="8"/>
        <v>1400</v>
      </c>
      <c r="T38" s="33"/>
      <c r="U38" s="23">
        <f t="shared" si="9"/>
        <v>42000</v>
      </c>
      <c r="V38" s="23"/>
      <c r="W38" s="23">
        <f>F38+U38</f>
        <v>92000</v>
      </c>
      <c r="X38" s="144"/>
      <c r="Y38" s="144"/>
      <c r="Z38" s="144"/>
      <c r="AA38" s="144"/>
      <c r="AB38" s="144"/>
      <c r="AD38" s="12" t="e">
        <f>X38+Y38+Z38+AA38+AB38+#REF!</f>
        <v>#REF!</v>
      </c>
    </row>
    <row r="39" spans="1:34" hidden="1">
      <c r="A39" s="110">
        <v>10</v>
      </c>
      <c r="B39" s="110" t="s">
        <v>147</v>
      </c>
      <c r="C39" s="110" t="s">
        <v>230</v>
      </c>
      <c r="D39" s="110">
        <v>30</v>
      </c>
      <c r="E39" s="112"/>
      <c r="F39" s="153">
        <v>35117.589999999997</v>
      </c>
      <c r="G39" s="184">
        <v>15386.59</v>
      </c>
      <c r="H39" s="187">
        <f>G39/$G$6</f>
        <v>0.82723602150537634</v>
      </c>
      <c r="I39" s="188">
        <f t="shared" si="3"/>
        <v>400</v>
      </c>
      <c r="J39" s="193">
        <f>3.96*2</f>
        <v>7.92</v>
      </c>
      <c r="K39" s="193">
        <f>4.5*2</f>
        <v>9</v>
      </c>
      <c r="L39" s="194">
        <f t="shared" si="13"/>
        <v>1.1363636363636365</v>
      </c>
      <c r="M39" s="195">
        <f>$N$8*IF(L39&gt;130%,$O$9,IF(L39&gt;120%,$P$9,IF(L39&gt;110%,$Q$9,IF(L39&gt;100%,$R$9,IF(L39&lt;=100%,S18)))))</f>
        <v>800</v>
      </c>
      <c r="N39" s="201">
        <v>1.17</v>
      </c>
      <c r="O39" s="202">
        <f t="shared" si="11"/>
        <v>0.77999999999999992</v>
      </c>
      <c r="P39" s="203">
        <f t="shared" si="12"/>
        <v>400</v>
      </c>
      <c r="Q39" s="148">
        <v>2</v>
      </c>
      <c r="R39" s="148">
        <f t="shared" si="7"/>
        <v>5000</v>
      </c>
      <c r="S39" s="33">
        <f t="shared" si="8"/>
        <v>1600</v>
      </c>
      <c r="T39" s="33"/>
      <c r="U39" s="23">
        <f t="shared" si="9"/>
        <v>53000</v>
      </c>
      <c r="V39" s="23"/>
      <c r="W39" s="23">
        <f>F39+U39</f>
        <v>88117.59</v>
      </c>
      <c r="X39" s="144"/>
      <c r="Y39" s="144"/>
      <c r="Z39" s="144"/>
      <c r="AA39" s="144"/>
      <c r="AB39" s="144"/>
      <c r="AC39" s="12"/>
      <c r="AD39" s="12" t="e">
        <f>X39+Y39+Z39+AA39+AB39+#REF!</f>
        <v>#REF!</v>
      </c>
    </row>
    <row r="40" spans="1:34" hidden="1">
      <c r="A40" s="110">
        <v>12</v>
      </c>
      <c r="B40" s="110" t="s">
        <v>201</v>
      </c>
      <c r="C40" s="110" t="s">
        <v>159</v>
      </c>
      <c r="D40" s="110">
        <v>31</v>
      </c>
      <c r="E40" s="112"/>
      <c r="F40" s="153">
        <v>50000</v>
      </c>
      <c r="G40" s="184">
        <v>17212.650000000001</v>
      </c>
      <c r="H40" s="187">
        <f>G40/$G$6</f>
        <v>0.92541129032258074</v>
      </c>
      <c r="I40" s="188">
        <f t="shared" si="3"/>
        <v>400</v>
      </c>
      <c r="J40" s="193">
        <f>2.93*2</f>
        <v>5.86</v>
      </c>
      <c r="K40" s="193">
        <f>4.06*2</f>
        <v>8.1199999999999992</v>
      </c>
      <c r="L40" s="194">
        <f t="shared" si="13"/>
        <v>1.3856655290102387</v>
      </c>
      <c r="M40" s="195">
        <f>$N$8*IF(L40&gt;130%,$O$9,IF(L40&gt;120%,$P$9,IF(L40&gt;110%,$Q$9,IF(L40&gt;100%,$R$9,IF(L40&lt;=100%,S19)))))</f>
        <v>400</v>
      </c>
      <c r="N40" s="201">
        <v>1.1499999999999999</v>
      </c>
      <c r="O40" s="202">
        <f t="shared" si="11"/>
        <v>0.76666666666666661</v>
      </c>
      <c r="P40" s="203">
        <f t="shared" si="12"/>
        <v>400</v>
      </c>
      <c r="Q40" s="148">
        <v>0</v>
      </c>
      <c r="R40" s="148">
        <f t="shared" si="7"/>
        <v>0</v>
      </c>
      <c r="S40" s="33">
        <f t="shared" si="8"/>
        <v>1200</v>
      </c>
      <c r="T40" s="33"/>
      <c r="U40" s="23">
        <f t="shared" si="9"/>
        <v>37200</v>
      </c>
      <c r="V40" s="23"/>
      <c r="W40" s="23">
        <f>F40+U40+V40</f>
        <v>87200</v>
      </c>
      <c r="X40" s="144"/>
      <c r="Y40" s="144"/>
      <c r="Z40" s="144"/>
      <c r="AA40" s="144"/>
      <c r="AB40" s="144"/>
      <c r="AD40" s="12" t="e">
        <f>X40+Y40+Z40+AA40+AB40+#REF!</f>
        <v>#REF!</v>
      </c>
    </row>
    <row r="41" spans="1:34" s="158" customFormat="1" hidden="1">
      <c r="A41" s="154"/>
      <c r="B41" s="154" t="s">
        <v>233</v>
      </c>
      <c r="C41" s="154" t="s">
        <v>234</v>
      </c>
      <c r="D41" s="154"/>
      <c r="E41" s="155"/>
      <c r="F41" s="156">
        <v>37500</v>
      </c>
      <c r="G41" s="184"/>
      <c r="H41" s="187"/>
      <c r="I41" s="188"/>
      <c r="J41" s="193"/>
      <c r="K41" s="193"/>
      <c r="L41" s="194"/>
      <c r="M41" s="195"/>
      <c r="N41" s="201"/>
      <c r="O41" s="202"/>
      <c r="P41" s="203"/>
      <c r="Q41" s="148"/>
      <c r="R41" s="148"/>
      <c r="S41" s="157"/>
      <c r="T41" s="157"/>
      <c r="U41" s="23">
        <f>F41</f>
        <v>37500</v>
      </c>
      <c r="V41" s="156"/>
      <c r="W41" s="23">
        <f>F41+U41+V41</f>
        <v>75000</v>
      </c>
      <c r="X41" s="156"/>
      <c r="Y41" s="156"/>
      <c r="Z41" s="156"/>
      <c r="AA41" s="156"/>
      <c r="AB41" s="156"/>
      <c r="AD41" s="159"/>
    </row>
    <row r="42" spans="1:34" s="158" customFormat="1" hidden="1">
      <c r="A42" s="154"/>
      <c r="B42" s="154" t="s">
        <v>233</v>
      </c>
      <c r="C42" s="154" t="s">
        <v>235</v>
      </c>
      <c r="D42" s="154"/>
      <c r="E42" s="155"/>
      <c r="F42" s="156">
        <v>15000</v>
      </c>
      <c r="G42" s="184"/>
      <c r="H42" s="187"/>
      <c r="I42" s="188"/>
      <c r="J42" s="193"/>
      <c r="K42" s="193"/>
      <c r="L42" s="194"/>
      <c r="M42" s="195"/>
      <c r="N42" s="201"/>
      <c r="O42" s="202"/>
      <c r="P42" s="203"/>
      <c r="Q42" s="148"/>
      <c r="R42" s="148"/>
      <c r="S42" s="157"/>
      <c r="T42" s="157"/>
      <c r="U42" s="23">
        <f>F42</f>
        <v>15000</v>
      </c>
      <c r="V42" s="156"/>
      <c r="W42" s="23">
        <f>F42+U42+V42</f>
        <v>30000</v>
      </c>
      <c r="X42" s="156"/>
      <c r="Y42" s="156"/>
      <c r="Z42" s="156"/>
      <c r="AA42" s="156"/>
      <c r="AB42" s="156"/>
      <c r="AD42" s="159"/>
    </row>
    <row r="43" spans="1:34" s="158" customFormat="1" hidden="1">
      <c r="A43" s="154"/>
      <c r="B43" s="154" t="s">
        <v>233</v>
      </c>
      <c r="C43" s="154" t="s">
        <v>231</v>
      </c>
      <c r="D43" s="154"/>
      <c r="E43" s="155"/>
      <c r="F43" s="156">
        <v>7963.89</v>
      </c>
      <c r="G43" s="184"/>
      <c r="H43" s="187"/>
      <c r="I43" s="188"/>
      <c r="J43" s="193"/>
      <c r="K43" s="193"/>
      <c r="L43" s="194"/>
      <c r="M43" s="195"/>
      <c r="N43" s="201"/>
      <c r="O43" s="202"/>
      <c r="P43" s="203"/>
      <c r="Q43" s="148"/>
      <c r="R43" s="148"/>
      <c r="S43" s="157"/>
      <c r="T43" s="157"/>
      <c r="U43" s="23">
        <f>S43*D43+R43+T43</f>
        <v>0</v>
      </c>
      <c r="V43" s="156"/>
      <c r="W43" s="23">
        <f>F43+U43+V43</f>
        <v>7963.89</v>
      </c>
      <c r="X43" s="156"/>
      <c r="Y43" s="156"/>
      <c r="Z43" s="156"/>
      <c r="AA43" s="156"/>
      <c r="AB43" s="156"/>
      <c r="AD43" s="159"/>
    </row>
    <row r="44" spans="1:34" hidden="1">
      <c r="D44">
        <f>SUM(D30:D43)</f>
        <v>333</v>
      </c>
      <c r="E44" s="16" t="s">
        <v>39</v>
      </c>
      <c r="F44" s="15">
        <f>SUM(F30:F43)+F20+F21</f>
        <v>844872.88</v>
      </c>
      <c r="G44" s="184"/>
      <c r="H44" s="189"/>
      <c r="I44" s="190"/>
      <c r="J44" s="196"/>
      <c r="K44" s="197"/>
      <c r="L44" s="198"/>
      <c r="M44" s="198"/>
      <c r="N44" s="439"/>
      <c r="O44" s="440"/>
      <c r="P44" s="440"/>
      <c r="Q44" s="151">
        <f>SUM(Q30:Q43)</f>
        <v>9</v>
      </c>
      <c r="R44" s="151">
        <f>SUM(R30:R43)</f>
        <v>25000</v>
      </c>
      <c r="S44" s="34" t="s">
        <v>39</v>
      </c>
      <c r="T44" s="34"/>
      <c r="U44" s="23">
        <f t="shared" ref="U44:AB44" si="15">SUM(U30:U43)</f>
        <v>620700</v>
      </c>
      <c r="V44" s="23">
        <f t="shared" si="15"/>
        <v>0</v>
      </c>
      <c r="W44" s="23">
        <f t="shared" si="15"/>
        <v>1165572.8799999999</v>
      </c>
      <c r="X44" s="144">
        <f t="shared" si="15"/>
        <v>0</v>
      </c>
      <c r="Y44" s="144">
        <f t="shared" si="15"/>
        <v>0</v>
      </c>
      <c r="Z44" s="144">
        <f t="shared" si="15"/>
        <v>0</v>
      </c>
      <c r="AA44" s="144">
        <f t="shared" si="15"/>
        <v>0</v>
      </c>
      <c r="AB44" s="144">
        <f t="shared" si="15"/>
        <v>0</v>
      </c>
      <c r="AD44" s="12" t="e">
        <f>X44+Y44+Z44+AA44+AB44+#REF!</f>
        <v>#REF!</v>
      </c>
    </row>
    <row r="45" spans="1:34" hidden="1">
      <c r="S45" s="12"/>
      <c r="T45" s="12"/>
      <c r="U45" s="12"/>
      <c r="V45" s="12"/>
      <c r="W45" s="12"/>
      <c r="X45" s="12"/>
      <c r="Y45" s="12"/>
    </row>
    <row r="46" spans="1:34" hidden="1">
      <c r="W46" s="12">
        <f>R23+W44</f>
        <v>1615572.88</v>
      </c>
      <c r="X46" s="12" t="e">
        <f>X44+Y44+Z44+AA44+AB44+#REF!</f>
        <v>#REF!</v>
      </c>
    </row>
    <row r="47" spans="1:34" outlineLevel="1">
      <c r="B47" s="35" t="s">
        <v>237</v>
      </c>
      <c r="G47" s="183">
        <v>569794</v>
      </c>
      <c r="H47" s="183">
        <v>280000</v>
      </c>
      <c r="J47" s="183"/>
      <c r="K47" s="183"/>
    </row>
    <row r="48" spans="1:34" s="158" customFormat="1" ht="14.65" customHeight="1" outlineLevel="1">
      <c r="A48" s="398" t="s">
        <v>29</v>
      </c>
      <c r="B48" s="398" t="s">
        <v>23</v>
      </c>
      <c r="C48" s="398" t="s">
        <v>30</v>
      </c>
      <c r="D48" s="408" t="s">
        <v>24</v>
      </c>
      <c r="E48" s="409"/>
      <c r="F48" s="459"/>
      <c r="G48" s="458" t="s">
        <v>248</v>
      </c>
      <c r="H48" s="458" t="s">
        <v>249</v>
      </c>
      <c r="I48" s="463" t="s">
        <v>251</v>
      </c>
      <c r="J48" s="458" t="s">
        <v>252</v>
      </c>
      <c r="K48" s="458" t="s">
        <v>250</v>
      </c>
      <c r="L48" s="463" t="s">
        <v>253</v>
      </c>
      <c r="M48" s="441" t="s">
        <v>238</v>
      </c>
      <c r="N48" s="441" t="s">
        <v>239</v>
      </c>
      <c r="O48" s="441" t="s">
        <v>106</v>
      </c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364"/>
      <c r="AB48" s="365"/>
      <c r="AC48" s="463" t="s">
        <v>53</v>
      </c>
      <c r="AD48" s="430" t="s">
        <v>288</v>
      </c>
      <c r="AE48" s="430" t="s">
        <v>151</v>
      </c>
      <c r="AF48" s="159"/>
      <c r="AH48" s="159"/>
    </row>
    <row r="49" spans="1:31" s="158" customFormat="1" ht="14.65" customHeight="1" outlineLevel="1">
      <c r="A49" s="398"/>
      <c r="B49" s="398"/>
      <c r="C49" s="398"/>
      <c r="D49" s="410"/>
      <c r="E49" s="460"/>
      <c r="F49" s="461"/>
      <c r="G49" s="458"/>
      <c r="H49" s="458"/>
      <c r="I49" s="463"/>
      <c r="J49" s="458"/>
      <c r="K49" s="458"/>
      <c r="L49" s="463"/>
      <c r="M49" s="441"/>
      <c r="N49" s="441"/>
      <c r="O49" s="441"/>
      <c r="P49" s="464" t="s">
        <v>240</v>
      </c>
      <c r="Q49" s="464"/>
      <c r="R49" s="464" t="s">
        <v>241</v>
      </c>
      <c r="S49" s="464"/>
      <c r="T49" s="464"/>
      <c r="U49" s="464"/>
      <c r="V49" s="464"/>
      <c r="W49" s="464"/>
      <c r="X49" s="464" t="s">
        <v>242</v>
      </c>
      <c r="Y49" s="464"/>
      <c r="Z49" s="464"/>
      <c r="AA49" s="464" t="s">
        <v>376</v>
      </c>
      <c r="AB49" s="463" t="s">
        <v>49</v>
      </c>
      <c r="AC49" s="463"/>
      <c r="AD49" s="430"/>
      <c r="AE49" s="430"/>
    </row>
    <row r="50" spans="1:31" s="158" customFormat="1" ht="92.1" customHeight="1" outlineLevel="1">
      <c r="A50" s="398"/>
      <c r="B50" s="398"/>
      <c r="C50" s="398"/>
      <c r="D50" s="410"/>
      <c r="E50" s="460"/>
      <c r="F50" s="461"/>
      <c r="G50" s="458"/>
      <c r="H50" s="458"/>
      <c r="I50" s="463"/>
      <c r="J50" s="458"/>
      <c r="K50" s="458"/>
      <c r="L50" s="463"/>
      <c r="M50" s="441"/>
      <c r="N50" s="441"/>
      <c r="O50" s="441"/>
      <c r="P50" s="464" t="s">
        <v>246</v>
      </c>
      <c r="Q50" s="464" t="s">
        <v>243</v>
      </c>
      <c r="R50" s="464" t="s">
        <v>26</v>
      </c>
      <c r="S50" s="464" t="s">
        <v>64</v>
      </c>
      <c r="T50" s="464" t="s">
        <v>244</v>
      </c>
      <c r="U50" s="360"/>
      <c r="V50" s="464" t="s">
        <v>247</v>
      </c>
      <c r="W50" s="464" t="s">
        <v>243</v>
      </c>
      <c r="X50" s="464" t="s">
        <v>245</v>
      </c>
      <c r="Y50" s="464" t="s">
        <v>246</v>
      </c>
      <c r="Z50" s="464" t="s">
        <v>243</v>
      </c>
      <c r="AA50" s="464"/>
      <c r="AB50" s="463"/>
      <c r="AC50" s="463"/>
      <c r="AD50" s="430"/>
      <c r="AE50" s="430"/>
    </row>
    <row r="51" spans="1:31" s="158" customFormat="1" ht="28.9" customHeight="1" outlineLevel="1">
      <c r="A51" s="398"/>
      <c r="B51" s="398"/>
      <c r="C51" s="398"/>
      <c r="D51" s="412"/>
      <c r="E51" s="413"/>
      <c r="F51" s="462"/>
      <c r="G51" s="458"/>
      <c r="H51" s="458"/>
      <c r="I51" s="463"/>
      <c r="J51" s="458"/>
      <c r="K51" s="458"/>
      <c r="L51" s="463"/>
      <c r="M51" s="441"/>
      <c r="N51" s="441"/>
      <c r="O51" s="441"/>
      <c r="P51" s="464"/>
      <c r="Q51" s="464"/>
      <c r="R51" s="464"/>
      <c r="S51" s="464"/>
      <c r="T51" s="464"/>
      <c r="U51" s="360"/>
      <c r="V51" s="464"/>
      <c r="W51" s="464"/>
      <c r="X51" s="464"/>
      <c r="Y51" s="464"/>
      <c r="Z51" s="464"/>
      <c r="AA51" s="464"/>
      <c r="AB51" s="463"/>
      <c r="AC51" s="463"/>
      <c r="AD51" s="430"/>
      <c r="AE51" s="430"/>
    </row>
    <row r="52" spans="1:31" s="158" customFormat="1" outlineLevel="1">
      <c r="A52" s="154">
        <v>2</v>
      </c>
      <c r="B52" s="154" t="s">
        <v>202</v>
      </c>
      <c r="C52" s="366" t="s">
        <v>316</v>
      </c>
      <c r="D52" s="154">
        <v>65</v>
      </c>
      <c r="E52" s="155">
        <v>2000</v>
      </c>
      <c r="F52" s="155">
        <f t="shared" ref="F52:F56" si="16">D52*E52</f>
        <v>130000</v>
      </c>
      <c r="G52" s="155">
        <f>D52*$G$47</f>
        <v>37036610</v>
      </c>
      <c r="H52" s="155">
        <v>29827705.629999999</v>
      </c>
      <c r="I52" s="367">
        <f t="shared" ref="I52:I59" si="17">H52-G52</f>
        <v>-7208904.370000001</v>
      </c>
      <c r="J52" s="155">
        <v>11480756.140000001</v>
      </c>
      <c r="K52" s="155">
        <v>8337422.4699999997</v>
      </c>
      <c r="L52" s="367">
        <f t="shared" ref="L52:L56" si="18">J52-K52</f>
        <v>3143333.6700000009</v>
      </c>
      <c r="M52" s="368">
        <f t="shared" ref="M52:M56" si="19">G52-J52</f>
        <v>25555853.859999999</v>
      </c>
      <c r="N52" s="368">
        <f t="shared" ref="N52:N56" si="20">H52-K52</f>
        <v>21490283.16</v>
      </c>
      <c r="O52" s="369">
        <f t="shared" ref="O52:O53" si="21">N52/M52</f>
        <v>0.84091430784226595</v>
      </c>
      <c r="P52" s="155">
        <f t="shared" ref="P52:P57" si="22">IF(O52&lt;100%,0,IF(O52&lt;105%,1000,IF(O52&lt;110%,1200,IF(O52&lt;115%,1500,IF(O52&gt;115%,2500)))))</f>
        <v>0</v>
      </c>
      <c r="Q52" s="155">
        <f t="shared" ref="Q52:Q57" si="23">D52*P52</f>
        <v>0</v>
      </c>
      <c r="R52" s="154">
        <v>32.42</v>
      </c>
      <c r="S52" s="154">
        <v>32.86</v>
      </c>
      <c r="T52" s="370">
        <f>R52-S52</f>
        <v>-0.43999999999999773</v>
      </c>
      <c r="U52" s="349">
        <f t="shared" ref="U52:U56" si="24">S52/R52</f>
        <v>1.013571869216533</v>
      </c>
      <c r="V52" s="154">
        <f>IF(U52&lt;=100%,600,IF(U52&lt;=101%,500,IF(U52&lt;=103%,400,IF(U52&lt;=105%,300,IF(U52&gt;105%,200)))))*AA52</f>
        <v>400</v>
      </c>
      <c r="W52" s="154">
        <f t="shared" ref="W52:W57" si="25">D52*V52</f>
        <v>26000</v>
      </c>
      <c r="X52" s="349">
        <f>25/D52</f>
        <v>0.38461538461538464</v>
      </c>
      <c r="Y52" s="154">
        <f t="shared" ref="Y52:Y54" si="26">600*AA52</f>
        <v>600</v>
      </c>
      <c r="Z52" s="154">
        <f t="shared" ref="Z52:Z56" si="27">D52*Y52</f>
        <v>39000</v>
      </c>
      <c r="AA52" s="154">
        <v>1</v>
      </c>
      <c r="AB52" s="371">
        <f>W52+Z52</f>
        <v>65000</v>
      </c>
      <c r="AC52" s="372">
        <f t="shared" ref="AC52:AC58" si="28">F52+AB52</f>
        <v>195000</v>
      </c>
      <c r="AD52" s="155"/>
      <c r="AE52" s="372">
        <f t="shared" ref="AE52:AE59" si="29">AB52-AD52</f>
        <v>65000</v>
      </c>
    </row>
    <row r="53" spans="1:31" s="158" customFormat="1" outlineLevel="1">
      <c r="A53" s="154">
        <v>3</v>
      </c>
      <c r="B53" s="154" t="s">
        <v>203</v>
      </c>
      <c r="C53" s="154" t="s">
        <v>232</v>
      </c>
      <c r="D53" s="154">
        <v>67</v>
      </c>
      <c r="E53" s="155">
        <v>2000</v>
      </c>
      <c r="F53" s="155">
        <f t="shared" si="16"/>
        <v>134000</v>
      </c>
      <c r="G53" s="155">
        <f t="shared" ref="G53:G55" si="30">D53*$G$47</f>
        <v>38176198</v>
      </c>
      <c r="H53" s="155">
        <v>29642776.969999999</v>
      </c>
      <c r="I53" s="367">
        <f t="shared" si="17"/>
        <v>-8533421.0300000012</v>
      </c>
      <c r="J53" s="155">
        <v>10668680.5</v>
      </c>
      <c r="K53" s="155">
        <v>9590551.5299999993</v>
      </c>
      <c r="L53" s="367">
        <f t="shared" si="18"/>
        <v>1078128.9700000007</v>
      </c>
      <c r="M53" s="368">
        <f>G53-J53</f>
        <v>27507517.5</v>
      </c>
      <c r="N53" s="368">
        <f t="shared" si="20"/>
        <v>20052225.439999998</v>
      </c>
      <c r="O53" s="369">
        <f t="shared" si="21"/>
        <v>0.72897255959211871</v>
      </c>
      <c r="P53" s="155">
        <f t="shared" si="22"/>
        <v>0</v>
      </c>
      <c r="Q53" s="155">
        <f>D53*P53</f>
        <v>0</v>
      </c>
      <c r="R53" s="154">
        <v>32.29</v>
      </c>
      <c r="S53" s="154">
        <v>32.130000000000003</v>
      </c>
      <c r="T53" s="370">
        <f t="shared" ref="T53:T56" si="31">R53-S53</f>
        <v>0.15999999999999659</v>
      </c>
      <c r="U53" s="349">
        <f t="shared" si="24"/>
        <v>0.99504490554351199</v>
      </c>
      <c r="V53" s="154">
        <f t="shared" ref="V53:V57" si="32">IF(U53&lt;=100%,600,IF(U53&lt;=101%,500,IF(U53&lt;=103%,400,IF(U53&lt;=105%,300,IF(U53&gt;105%,200)))))*AA53</f>
        <v>600</v>
      </c>
      <c r="W53" s="154">
        <f t="shared" si="25"/>
        <v>40200</v>
      </c>
      <c r="X53" s="349">
        <f>7/D53</f>
        <v>0.1044776119402985</v>
      </c>
      <c r="Y53" s="154">
        <v>300</v>
      </c>
      <c r="Z53" s="154">
        <f t="shared" si="27"/>
        <v>20100</v>
      </c>
      <c r="AA53" s="154">
        <v>1</v>
      </c>
      <c r="AB53" s="371">
        <f>W53+Z53</f>
        <v>60300</v>
      </c>
      <c r="AC53" s="372">
        <f t="shared" si="28"/>
        <v>194300</v>
      </c>
      <c r="AD53" s="155"/>
      <c r="AE53" s="372">
        <f t="shared" si="29"/>
        <v>60300</v>
      </c>
    </row>
    <row r="54" spans="1:31" s="158" customFormat="1" outlineLevel="1">
      <c r="A54" s="154">
        <v>4</v>
      </c>
      <c r="B54" s="154" t="s">
        <v>209</v>
      </c>
      <c r="C54" s="366" t="s">
        <v>229</v>
      </c>
      <c r="D54" s="154">
        <v>65</v>
      </c>
      <c r="E54" s="155">
        <v>2000</v>
      </c>
      <c r="F54" s="155">
        <f>D54*E54-14889.7</f>
        <v>115110.3</v>
      </c>
      <c r="G54" s="155">
        <f t="shared" si="30"/>
        <v>37036610</v>
      </c>
      <c r="H54" s="155">
        <v>28881132.859999999</v>
      </c>
      <c r="I54" s="367">
        <f>H54-G54</f>
        <v>-8155477.1400000006</v>
      </c>
      <c r="J54" s="155">
        <v>11051682.65</v>
      </c>
      <c r="K54" s="155">
        <v>10039921.960000001</v>
      </c>
      <c r="L54" s="367">
        <f>J54-K54</f>
        <v>1011760.6899999995</v>
      </c>
      <c r="M54" s="368">
        <f>G54-J54</f>
        <v>25984927.350000001</v>
      </c>
      <c r="N54" s="368">
        <f>H54-K54</f>
        <v>18841210.899999999</v>
      </c>
      <c r="O54" s="369">
        <f>N54/M54</f>
        <v>0.72508230045138067</v>
      </c>
      <c r="P54" s="155">
        <f t="shared" si="22"/>
        <v>0</v>
      </c>
      <c r="Q54" s="155">
        <f t="shared" si="23"/>
        <v>0</v>
      </c>
      <c r="R54" s="154">
        <v>32.83</v>
      </c>
      <c r="S54" s="154">
        <v>33.44</v>
      </c>
      <c r="T54" s="370">
        <f>R54-S54</f>
        <v>-0.60999999999999943</v>
      </c>
      <c r="U54" s="349">
        <f>S54/R54</f>
        <v>1.0185805665549801</v>
      </c>
      <c r="V54" s="154">
        <f t="shared" si="32"/>
        <v>400</v>
      </c>
      <c r="W54" s="154">
        <f t="shared" si="25"/>
        <v>26000</v>
      </c>
      <c r="X54" s="349">
        <f>26/D54</f>
        <v>0.4</v>
      </c>
      <c r="Y54" s="154">
        <f t="shared" si="26"/>
        <v>600</v>
      </c>
      <c r="Z54" s="154">
        <f t="shared" si="27"/>
        <v>39000</v>
      </c>
      <c r="AA54" s="154">
        <v>1</v>
      </c>
      <c r="AB54" s="371">
        <f t="shared" ref="AB54:AB57" si="33">W54+Z54</f>
        <v>65000</v>
      </c>
      <c r="AC54" s="372">
        <f t="shared" si="28"/>
        <v>180110.3</v>
      </c>
      <c r="AD54" s="155"/>
      <c r="AE54" s="372">
        <f t="shared" si="29"/>
        <v>65000</v>
      </c>
    </row>
    <row r="55" spans="1:31" s="158" customFormat="1" outlineLevel="1">
      <c r="A55" s="154">
        <v>5</v>
      </c>
      <c r="B55" s="154" t="s">
        <v>95</v>
      </c>
      <c r="C55" s="154" t="s">
        <v>142</v>
      </c>
      <c r="D55" s="154">
        <v>70</v>
      </c>
      <c r="E55" s="155">
        <v>2000</v>
      </c>
      <c r="F55" s="155">
        <f t="shared" si="16"/>
        <v>140000</v>
      </c>
      <c r="G55" s="155">
        <f t="shared" si="30"/>
        <v>39885580</v>
      </c>
      <c r="H55" s="155">
        <v>36068629.079999998</v>
      </c>
      <c r="I55" s="367">
        <f t="shared" si="17"/>
        <v>-3816950.9200000018</v>
      </c>
      <c r="J55" s="155">
        <v>14482678.74</v>
      </c>
      <c r="K55" s="155">
        <v>11205596.15</v>
      </c>
      <c r="L55" s="367">
        <f t="shared" si="18"/>
        <v>3277082.59</v>
      </c>
      <c r="M55" s="368">
        <f t="shared" si="19"/>
        <v>25402901.259999998</v>
      </c>
      <c r="N55" s="368">
        <f t="shared" si="20"/>
        <v>24863032.93</v>
      </c>
      <c r="O55" s="369">
        <f>N55/M55</f>
        <v>0.97874776882866965</v>
      </c>
      <c r="P55" s="155">
        <f t="shared" si="22"/>
        <v>0</v>
      </c>
      <c r="Q55" s="155">
        <f t="shared" si="23"/>
        <v>0</v>
      </c>
      <c r="R55" s="154">
        <v>33.32</v>
      </c>
      <c r="S55" s="154">
        <v>33.39</v>
      </c>
      <c r="T55" s="370">
        <f t="shared" si="31"/>
        <v>-7.0000000000000284E-2</v>
      </c>
      <c r="U55" s="349">
        <f>S55/R55</f>
        <v>1.0021008403361344</v>
      </c>
      <c r="V55" s="154">
        <f>IF(U55&lt;=100%,600,IF(U55&lt;=101%,500,IF(U55&lt;=103%,400,IF(U55&lt;=105%,300,IF(U55&gt;105%,200)))))*AA55</f>
        <v>500</v>
      </c>
      <c r="W55" s="154">
        <f t="shared" si="25"/>
        <v>35000</v>
      </c>
      <c r="X55" s="349">
        <f>34/D55</f>
        <v>0.48571428571428571</v>
      </c>
      <c r="Y55" s="154">
        <f>600*AA55</f>
        <v>600</v>
      </c>
      <c r="Z55" s="154">
        <f t="shared" si="27"/>
        <v>42000</v>
      </c>
      <c r="AA55" s="154">
        <v>1</v>
      </c>
      <c r="AB55" s="371">
        <f t="shared" si="33"/>
        <v>77000</v>
      </c>
      <c r="AC55" s="372">
        <f t="shared" si="28"/>
        <v>217000</v>
      </c>
      <c r="AD55" s="155"/>
      <c r="AE55" s="372">
        <f t="shared" si="29"/>
        <v>77000</v>
      </c>
    </row>
    <row r="56" spans="1:31" s="158" customFormat="1" outlineLevel="1">
      <c r="A56" s="154">
        <v>6</v>
      </c>
      <c r="B56" s="154" t="s">
        <v>147</v>
      </c>
      <c r="C56" s="366" t="s">
        <v>234</v>
      </c>
      <c r="D56" s="154">
        <v>65</v>
      </c>
      <c r="E56" s="155">
        <v>2000</v>
      </c>
      <c r="F56" s="155">
        <f t="shared" si="16"/>
        <v>130000</v>
      </c>
      <c r="G56" s="155">
        <f>D56*$G$47-G47/30*120</f>
        <v>34757434</v>
      </c>
      <c r="H56" s="156">
        <v>29035616.68</v>
      </c>
      <c r="I56" s="367">
        <f t="shared" si="17"/>
        <v>-5721817.3200000003</v>
      </c>
      <c r="J56" s="155">
        <v>10637141.77</v>
      </c>
      <c r="K56" s="156">
        <f>15266022.71-K58</f>
        <v>10052453.710000001</v>
      </c>
      <c r="L56" s="367">
        <f t="shared" si="18"/>
        <v>584688.05999999866</v>
      </c>
      <c r="M56" s="368">
        <f t="shared" si="19"/>
        <v>24120292.23</v>
      </c>
      <c r="N56" s="368">
        <f t="shared" si="20"/>
        <v>18983162.969999999</v>
      </c>
      <c r="O56" s="369">
        <f>N56/M56</f>
        <v>0.78702043859938753</v>
      </c>
      <c r="P56" s="155">
        <f t="shared" si="22"/>
        <v>0</v>
      </c>
      <c r="Q56" s="155">
        <f t="shared" si="23"/>
        <v>0</v>
      </c>
      <c r="R56" s="154">
        <v>32.25</v>
      </c>
      <c r="S56" s="154">
        <v>32.770000000000003</v>
      </c>
      <c r="T56" s="370">
        <f t="shared" si="31"/>
        <v>-0.52000000000000313</v>
      </c>
      <c r="U56" s="349">
        <f t="shared" si="24"/>
        <v>1.0161240310077519</v>
      </c>
      <c r="V56" s="154">
        <f t="shared" si="32"/>
        <v>400</v>
      </c>
      <c r="W56" s="155">
        <f t="shared" si="25"/>
        <v>26000</v>
      </c>
      <c r="X56" s="349">
        <f>17/D56</f>
        <v>0.26153846153846155</v>
      </c>
      <c r="Y56" s="154">
        <f t="shared" ref="Y56" si="34">600*AA56</f>
        <v>600</v>
      </c>
      <c r="Z56" s="154">
        <f t="shared" si="27"/>
        <v>39000</v>
      </c>
      <c r="AA56" s="154">
        <v>1</v>
      </c>
      <c r="AB56" s="371">
        <f t="shared" si="33"/>
        <v>65000</v>
      </c>
      <c r="AC56" s="372">
        <f t="shared" si="28"/>
        <v>195000</v>
      </c>
      <c r="AD56" s="155"/>
      <c r="AE56" s="372">
        <f t="shared" si="29"/>
        <v>65000</v>
      </c>
    </row>
    <row r="57" spans="1:31" s="158" customFormat="1" outlineLevel="1">
      <c r="A57" s="154">
        <v>8</v>
      </c>
      <c r="B57" s="154" t="s">
        <v>201</v>
      </c>
      <c r="C57" s="154" t="s">
        <v>378</v>
      </c>
      <c r="D57" s="154">
        <v>25</v>
      </c>
      <c r="E57" s="155">
        <v>0</v>
      </c>
      <c r="F57" s="155">
        <f>D57*E57</f>
        <v>0</v>
      </c>
      <c r="G57" s="155">
        <f>D57*H47</f>
        <v>7000000</v>
      </c>
      <c r="H57" s="155">
        <v>5710458.5099999998</v>
      </c>
      <c r="I57" s="367">
        <f t="shared" si="17"/>
        <v>-1289541.4900000002</v>
      </c>
      <c r="J57" s="155">
        <v>1676603.64</v>
      </c>
      <c r="K57" s="155">
        <v>1064901.68</v>
      </c>
      <c r="L57" s="367">
        <f t="shared" ref="L57" si="35">J57-K57</f>
        <v>611701.96</v>
      </c>
      <c r="M57" s="368">
        <f>G57-J57</f>
        <v>5323396.3600000003</v>
      </c>
      <c r="N57" s="368">
        <f>H57-K57</f>
        <v>4645556.83</v>
      </c>
      <c r="O57" s="369">
        <f>N57/M57</f>
        <v>0.87266784508226991</v>
      </c>
      <c r="P57" s="155">
        <f t="shared" si="22"/>
        <v>0</v>
      </c>
      <c r="Q57" s="155">
        <f t="shared" si="23"/>
        <v>0</v>
      </c>
      <c r="R57" s="154">
        <v>21.8</v>
      </c>
      <c r="S57" s="154">
        <v>21.37</v>
      </c>
      <c r="T57" s="370">
        <f t="shared" ref="T57" si="36">R57-S57</f>
        <v>0.42999999999999972</v>
      </c>
      <c r="U57" s="349">
        <f t="shared" ref="U57" si="37">S57/R57</f>
        <v>0.98027522935779821</v>
      </c>
      <c r="V57" s="154">
        <f t="shared" si="32"/>
        <v>0</v>
      </c>
      <c r="W57" s="155">
        <f t="shared" si="25"/>
        <v>0</v>
      </c>
      <c r="X57" s="349">
        <f>0/D57</f>
        <v>0</v>
      </c>
      <c r="Y57" s="154">
        <v>0</v>
      </c>
      <c r="Z57" s="154">
        <f>D57*Y57</f>
        <v>0</v>
      </c>
      <c r="AA57" s="154">
        <v>0</v>
      </c>
      <c r="AB57" s="371">
        <f t="shared" si="33"/>
        <v>0</v>
      </c>
      <c r="AC57" s="372">
        <f t="shared" si="28"/>
        <v>0</v>
      </c>
      <c r="AD57" s="155"/>
      <c r="AE57" s="372">
        <f t="shared" si="29"/>
        <v>0</v>
      </c>
    </row>
    <row r="58" spans="1:31" s="158" customFormat="1" outlineLevel="1">
      <c r="A58" s="154"/>
      <c r="B58" s="154"/>
      <c r="C58" s="154"/>
      <c r="D58" s="154"/>
      <c r="E58" s="155"/>
      <c r="F58" s="373"/>
      <c r="G58" s="155">
        <f t="shared" ref="G58" si="38">D58*$G$47</f>
        <v>0</v>
      </c>
      <c r="H58" s="155"/>
      <c r="I58" s="367"/>
      <c r="J58" s="155"/>
      <c r="K58" s="155">
        <v>5213569</v>
      </c>
      <c r="L58" s="367"/>
      <c r="M58" s="368">
        <f>G58-J58</f>
        <v>0</v>
      </c>
      <c r="N58" s="368">
        <f>H58-K58</f>
        <v>-5213569</v>
      </c>
      <c r="O58" s="369"/>
      <c r="P58" s="155"/>
      <c r="Q58" s="155"/>
      <c r="R58" s="154"/>
      <c r="S58" s="154"/>
      <c r="T58" s="370"/>
      <c r="U58" s="370"/>
      <c r="V58" s="154"/>
      <c r="W58" s="154"/>
      <c r="X58" s="349"/>
      <c r="Y58" s="154"/>
      <c r="Z58" s="154"/>
      <c r="AA58" s="154"/>
      <c r="AB58" s="371"/>
      <c r="AC58" s="372">
        <f t="shared" si="28"/>
        <v>0</v>
      </c>
      <c r="AD58" s="155"/>
      <c r="AE58" s="372">
        <f t="shared" si="29"/>
        <v>0</v>
      </c>
    </row>
    <row r="59" spans="1:31" s="158" customFormat="1" ht="15.75" outlineLevel="1">
      <c r="A59" s="154"/>
      <c r="B59" s="154"/>
      <c r="C59" s="351"/>
      <c r="D59" s="154"/>
      <c r="E59" s="155"/>
      <c r="F59" s="155">
        <f>SUM(F52:F58)</f>
        <v>649110.30000000005</v>
      </c>
      <c r="G59" s="155">
        <f>SUM(G52:G57)</f>
        <v>193892432</v>
      </c>
      <c r="H59" s="155">
        <f>SUM(H52:H58)</f>
        <v>159166319.72999999</v>
      </c>
      <c r="I59" s="367">
        <f t="shared" si="17"/>
        <v>-34726112.270000011</v>
      </c>
      <c r="J59" s="155">
        <f>SUM(J52:J58)</f>
        <v>59997543.439999998</v>
      </c>
      <c r="K59" s="155">
        <f>SUM(K52:K58)</f>
        <v>55504416.5</v>
      </c>
      <c r="L59" s="367">
        <f>SUM(L52:L56)</f>
        <v>9094993.9800000004</v>
      </c>
      <c r="M59" s="368">
        <f>SUM(M52:M58)</f>
        <v>133894888.56</v>
      </c>
      <c r="N59" s="368">
        <f>SUM(N52:N58)</f>
        <v>103661903.22999999</v>
      </c>
      <c r="O59" s="374"/>
      <c r="P59" s="154"/>
      <c r="Q59" s="154"/>
      <c r="R59" s="154"/>
      <c r="S59" s="154"/>
      <c r="T59" s="154"/>
      <c r="U59" s="154"/>
      <c r="V59" s="154"/>
      <c r="W59" s="154"/>
      <c r="X59" s="349"/>
      <c r="Y59" s="154"/>
      <c r="Z59" s="154"/>
      <c r="AA59" s="154"/>
      <c r="AB59" s="372">
        <f>SUM(AB52:AB58)</f>
        <v>332300</v>
      </c>
      <c r="AC59" s="372">
        <f>SUM(AC52:AC58)</f>
        <v>981410.3</v>
      </c>
      <c r="AD59" s="155">
        <f>SUM(AD52:AD58)</f>
        <v>0</v>
      </c>
      <c r="AE59" s="372">
        <f t="shared" si="29"/>
        <v>332300</v>
      </c>
    </row>
    <row r="60" spans="1:31" s="158" customFormat="1" outlineLevel="1">
      <c r="D60" s="158">
        <f>SUM(D52:D59)</f>
        <v>357</v>
      </c>
      <c r="E60" s="352" t="s">
        <v>39</v>
      </c>
      <c r="F60" s="350">
        <f>F59+F20+F21+F22</f>
        <v>1099110.3</v>
      </c>
      <c r="U60" s="353"/>
    </row>
    <row r="61" spans="1:31" s="158" customFormat="1" outlineLevel="1">
      <c r="AB61" s="353">
        <f>Q23+AB59</f>
        <v>332300</v>
      </c>
      <c r="AC61" s="353">
        <f>R23+AC59</f>
        <v>1431410.3</v>
      </c>
    </row>
    <row r="62" spans="1:31" s="158" customFormat="1" outlineLevel="1">
      <c r="W62" s="353"/>
      <c r="Z62" s="353"/>
      <c r="AA62" s="354"/>
      <c r="AB62" s="353"/>
    </row>
    <row r="63" spans="1:31" outlineLevel="1"/>
  </sheetData>
  <autoFilter ref="A51:AD60"/>
  <mergeCells count="87">
    <mergeCell ref="I48:I51"/>
    <mergeCell ref="L48:L51"/>
    <mergeCell ref="P50:P51"/>
    <mergeCell ref="Q50:Q51"/>
    <mergeCell ref="AB49:AB51"/>
    <mergeCell ref="R50:R51"/>
    <mergeCell ref="X50:X51"/>
    <mergeCell ref="R49:W49"/>
    <mergeCell ref="AD48:AD51"/>
    <mergeCell ref="AE48:AE51"/>
    <mergeCell ref="J48:J51"/>
    <mergeCell ref="K48:K51"/>
    <mergeCell ref="AC48:AC51"/>
    <mergeCell ref="AA49:AA51"/>
    <mergeCell ref="Y50:Y51"/>
    <mergeCell ref="P49:Q49"/>
    <mergeCell ref="S50:S51"/>
    <mergeCell ref="T50:T51"/>
    <mergeCell ref="V50:V51"/>
    <mergeCell ref="W50:W51"/>
    <mergeCell ref="X49:Z49"/>
    <mergeCell ref="Z50:Z51"/>
    <mergeCell ref="A48:A51"/>
    <mergeCell ref="B48:B51"/>
    <mergeCell ref="C48:C51"/>
    <mergeCell ref="H48:H51"/>
    <mergeCell ref="G48:G51"/>
    <mergeCell ref="D48:F51"/>
    <mergeCell ref="V12:V13"/>
    <mergeCell ref="N44:P44"/>
    <mergeCell ref="M48:M51"/>
    <mergeCell ref="N48:N51"/>
    <mergeCell ref="O48:O51"/>
    <mergeCell ref="P48:Z48"/>
    <mergeCell ref="W12:W13"/>
    <mergeCell ref="N18:O18"/>
    <mergeCell ref="Q28:R28"/>
    <mergeCell ref="T28:T29"/>
    <mergeCell ref="G26:U26"/>
    <mergeCell ref="G27:U27"/>
    <mergeCell ref="G18:K18"/>
    <mergeCell ref="R16:R19"/>
    <mergeCell ref="P18:P19"/>
    <mergeCell ref="Q18:Q19"/>
    <mergeCell ref="M8:M9"/>
    <mergeCell ref="N8:N9"/>
    <mergeCell ref="M10:M11"/>
    <mergeCell ref="N10:N11"/>
    <mergeCell ref="M12:M13"/>
    <mergeCell ref="N12:N13"/>
    <mergeCell ref="AA5:AA6"/>
    <mergeCell ref="AB5:AB6"/>
    <mergeCell ref="H5:J5"/>
    <mergeCell ref="S5:S6"/>
    <mergeCell ref="H6:J6"/>
    <mergeCell ref="M5:N5"/>
    <mergeCell ref="O5:O6"/>
    <mergeCell ref="P5:P6"/>
    <mergeCell ref="Q5:Q6"/>
    <mergeCell ref="R5:R6"/>
    <mergeCell ref="Y5:Y6"/>
    <mergeCell ref="V5:W5"/>
    <mergeCell ref="X5:X6"/>
    <mergeCell ref="Z5:Z6"/>
    <mergeCell ref="A16:A19"/>
    <mergeCell ref="B16:B19"/>
    <mergeCell ref="C16:C19"/>
    <mergeCell ref="X26:X29"/>
    <mergeCell ref="D26:F28"/>
    <mergeCell ref="D16:F18"/>
    <mergeCell ref="S16:S19"/>
    <mergeCell ref="L18:M18"/>
    <mergeCell ref="A26:A29"/>
    <mergeCell ref="B26:B29"/>
    <mergeCell ref="C26:C29"/>
    <mergeCell ref="G28:I28"/>
    <mergeCell ref="J28:M28"/>
    <mergeCell ref="G16:Q16"/>
    <mergeCell ref="G17:Q17"/>
    <mergeCell ref="T16:T19"/>
    <mergeCell ref="AB26:AB29"/>
    <mergeCell ref="AA26:AA29"/>
    <mergeCell ref="N28:P28"/>
    <mergeCell ref="W26:W29"/>
    <mergeCell ref="Z26:Z29"/>
    <mergeCell ref="Y26:Y29"/>
    <mergeCell ref="V26:V29"/>
  </mergeCells>
  <phoneticPr fontId="24" type="noConversion"/>
  <conditionalFormatting sqref="O52:O57">
    <cfRule type="cellIs" dxfId="0" priority="1" operator="lessThan">
      <formula>1</formula>
    </cfRule>
  </conditionalFormatting>
  <pageMargins left="0.31496062992125984" right="0.11811023622047245" top="0.74803149606299213" bottom="0.74803149606299213" header="0.31496062992125984" footer="0.31496062992125984"/>
  <pageSetup paperSize="9" scale="3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2"/>
  <sheetViews>
    <sheetView workbookViewId="0">
      <selection activeCell="E44" sqref="E44"/>
    </sheetView>
  </sheetViews>
  <sheetFormatPr defaultRowHeight="15"/>
  <cols>
    <col min="2" max="2" width="34.42578125" customWidth="1"/>
    <col min="3" max="3" width="10.42578125" bestFit="1" customWidth="1"/>
    <col min="4" max="4" width="11.28515625" customWidth="1"/>
    <col min="5" max="5" width="18.42578125" customWidth="1"/>
    <col min="6" max="6" width="19" customWidth="1"/>
    <col min="7" max="7" width="18.7109375" customWidth="1"/>
    <col min="8" max="8" width="18.42578125" customWidth="1"/>
    <col min="9" max="9" width="19.42578125" bestFit="1" customWidth="1"/>
    <col min="10" max="13" width="11.42578125" customWidth="1"/>
    <col min="14" max="14" width="10.28515625" customWidth="1"/>
    <col min="15" max="15" width="13.7109375" bestFit="1" customWidth="1"/>
    <col min="16" max="16" width="10.5703125" customWidth="1"/>
    <col min="17" max="17" width="13.28515625" bestFit="1" customWidth="1"/>
    <col min="18" max="18" width="17" bestFit="1" customWidth="1"/>
    <col min="19" max="19" width="11.7109375" customWidth="1"/>
    <col min="21" max="21" width="11" bestFit="1" customWidth="1"/>
  </cols>
  <sheetData>
    <row r="2" spans="2:15">
      <c r="B2" s="261" t="s">
        <v>345</v>
      </c>
      <c r="C2" s="261"/>
      <c r="D2" s="261"/>
    </row>
    <row r="3" spans="2:15">
      <c r="B3" s="262"/>
      <c r="C3" s="262"/>
      <c r="D3" s="262"/>
    </row>
    <row r="4" spans="2:15" s="119" customFormat="1">
      <c r="B4" s="263" t="s">
        <v>24</v>
      </c>
      <c r="C4" s="264">
        <v>80000</v>
      </c>
      <c r="D4" s="264"/>
      <c r="E4" s="265"/>
      <c r="F4" s="265"/>
      <c r="G4" s="265"/>
    </row>
    <row r="5" spans="2:15">
      <c r="B5" s="261" t="s">
        <v>346</v>
      </c>
      <c r="C5" s="266">
        <v>1500</v>
      </c>
      <c r="D5" s="266"/>
      <c r="E5" s="9"/>
      <c r="F5" s="9"/>
      <c r="G5" s="9"/>
    </row>
    <row r="7" spans="2:15">
      <c r="L7" s="9"/>
      <c r="M7" s="9"/>
    </row>
    <row r="8" spans="2:15">
      <c r="B8" s="267" t="s">
        <v>347</v>
      </c>
      <c r="C8" s="267" t="s">
        <v>20</v>
      </c>
      <c r="D8" s="267" t="s">
        <v>348</v>
      </c>
      <c r="E8" s="465" t="s">
        <v>349</v>
      </c>
      <c r="F8" s="465"/>
      <c r="G8" s="465"/>
      <c r="H8" s="465"/>
      <c r="I8" s="465"/>
    </row>
    <row r="9" spans="2:15">
      <c r="B9" s="466" t="s">
        <v>350</v>
      </c>
      <c r="C9" s="467">
        <v>0.4</v>
      </c>
      <c r="D9" s="468">
        <f>C9*C5</f>
        <v>600</v>
      </c>
      <c r="E9" s="268" t="s">
        <v>351</v>
      </c>
      <c r="F9" s="268" t="s">
        <v>352</v>
      </c>
      <c r="G9" s="268" t="s">
        <v>353</v>
      </c>
      <c r="H9" s="268" t="s">
        <v>136</v>
      </c>
      <c r="I9" s="268" t="s">
        <v>354</v>
      </c>
      <c r="J9" s="269"/>
      <c r="K9" s="270"/>
      <c r="N9" s="271"/>
      <c r="O9" s="270"/>
    </row>
    <row r="10" spans="2:15">
      <c r="B10" s="466"/>
      <c r="C10" s="467"/>
      <c r="D10" s="468"/>
      <c r="E10" s="272">
        <v>0</v>
      </c>
      <c r="F10" s="272">
        <v>0.4</v>
      </c>
      <c r="G10" s="272">
        <v>0.6</v>
      </c>
      <c r="H10" s="272">
        <v>0.8</v>
      </c>
      <c r="I10" s="272">
        <v>1</v>
      </c>
      <c r="K10" s="273"/>
      <c r="N10" s="274"/>
      <c r="O10" s="273"/>
    </row>
    <row r="11" spans="2:15">
      <c r="B11" s="469" t="s">
        <v>355</v>
      </c>
      <c r="C11" s="471">
        <v>0.2</v>
      </c>
      <c r="D11" s="472">
        <f>C11*C5</f>
        <v>300</v>
      </c>
      <c r="E11" s="268" t="s">
        <v>356</v>
      </c>
      <c r="F11" s="268" t="s">
        <v>357</v>
      </c>
      <c r="G11" s="268" t="s">
        <v>358</v>
      </c>
      <c r="H11" s="268" t="s">
        <v>359</v>
      </c>
      <c r="I11" s="268"/>
      <c r="K11" s="270"/>
      <c r="N11" s="271"/>
      <c r="O11" s="270"/>
    </row>
    <row r="12" spans="2:15">
      <c r="B12" s="470"/>
      <c r="C12" s="471"/>
      <c r="D12" s="472"/>
      <c r="E12" s="272">
        <v>0</v>
      </c>
      <c r="F12" s="272">
        <v>0.6</v>
      </c>
      <c r="G12" s="272">
        <v>0.8</v>
      </c>
      <c r="H12" s="272">
        <v>1</v>
      </c>
      <c r="I12" s="272"/>
      <c r="K12" s="273"/>
      <c r="N12" s="274"/>
      <c r="O12" s="273"/>
    </row>
    <row r="13" spans="2:15" hidden="1">
      <c r="B13" s="275"/>
      <c r="C13" s="275"/>
      <c r="D13" s="276"/>
      <c r="E13" s="277" t="s">
        <v>360</v>
      </c>
      <c r="F13" s="277" t="s">
        <v>361</v>
      </c>
      <c r="G13" s="277" t="s">
        <v>362</v>
      </c>
      <c r="H13" s="277" t="s">
        <v>363</v>
      </c>
      <c r="I13" s="277" t="s">
        <v>364</v>
      </c>
    </row>
    <row r="14" spans="2:15" hidden="1">
      <c r="B14" s="275"/>
      <c r="C14" s="275"/>
      <c r="D14" s="276"/>
      <c r="E14" s="277">
        <v>0</v>
      </c>
      <c r="F14" s="278">
        <f>F10*D9</f>
        <v>240</v>
      </c>
      <c r="G14" s="278">
        <f>G10*D9</f>
        <v>360</v>
      </c>
      <c r="H14" s="278">
        <f>H10*D9</f>
        <v>480</v>
      </c>
      <c r="I14" s="278">
        <f>I10*D9</f>
        <v>600</v>
      </c>
    </row>
    <row r="15" spans="2:15" hidden="1">
      <c r="B15" s="275"/>
      <c r="C15" s="275"/>
      <c r="D15" s="276"/>
      <c r="E15" s="277">
        <v>0</v>
      </c>
      <c r="F15" s="278">
        <f>F12*D11</f>
        <v>180</v>
      </c>
      <c r="G15" s="278">
        <f>G12*D11</f>
        <v>240</v>
      </c>
      <c r="H15" s="278">
        <f>H12*D11</f>
        <v>300</v>
      </c>
      <c r="I15" s="278">
        <f>D11*I12</f>
        <v>0</v>
      </c>
    </row>
    <row r="16" spans="2:15" hidden="1">
      <c r="B16" s="279" t="s">
        <v>298</v>
      </c>
      <c r="C16" s="280"/>
      <c r="D16" s="281"/>
      <c r="E16" s="282">
        <f>E14+E15+C4</f>
        <v>80000</v>
      </c>
      <c r="F16" s="282">
        <f>F14+F15+C4</f>
        <v>80420</v>
      </c>
      <c r="G16" s="282">
        <f>G14+G15+C4</f>
        <v>80600</v>
      </c>
      <c r="H16" s="282">
        <f>H14+H15+C4</f>
        <v>80780</v>
      </c>
      <c r="I16" s="282">
        <f>I14+I15+C4</f>
        <v>80600</v>
      </c>
    </row>
    <row r="17" spans="1:22" s="119" customFormat="1">
      <c r="B17" s="481" t="s">
        <v>365</v>
      </c>
      <c r="C17" s="483">
        <v>0.4</v>
      </c>
      <c r="D17" s="485">
        <f>C17*C5</f>
        <v>600</v>
      </c>
      <c r="E17" s="283">
        <v>0.95</v>
      </c>
      <c r="F17" s="283">
        <v>0.96</v>
      </c>
      <c r="G17" s="283">
        <v>0.97</v>
      </c>
      <c r="H17" s="283">
        <v>0.98</v>
      </c>
      <c r="I17" s="283">
        <v>1</v>
      </c>
    </row>
    <row r="18" spans="1:22" s="285" customFormat="1" ht="15.75">
      <c r="B18" s="482"/>
      <c r="C18" s="484"/>
      <c r="D18" s="485"/>
      <c r="E18" s="284">
        <v>0</v>
      </c>
      <c r="F18" s="284">
        <v>0.4</v>
      </c>
      <c r="G18" s="284">
        <v>0.6</v>
      </c>
      <c r="H18" s="284">
        <v>0.8</v>
      </c>
      <c r="I18" s="284">
        <v>1</v>
      </c>
      <c r="L18" s="286"/>
      <c r="M18" s="287"/>
    </row>
    <row r="19" spans="1:22" ht="25.5">
      <c r="B19" s="288" t="s">
        <v>366</v>
      </c>
      <c r="C19" s="268" t="s">
        <v>367</v>
      </c>
      <c r="D19" s="289"/>
      <c r="E19" s="262"/>
      <c r="F19" s="262"/>
      <c r="G19" s="262"/>
    </row>
    <row r="21" spans="1:22" ht="15.75" thickBot="1"/>
    <row r="22" spans="1:22" s="9" customFormat="1">
      <c r="A22" s="479" t="s">
        <v>23</v>
      </c>
      <c r="B22" s="302" t="s">
        <v>30</v>
      </c>
      <c r="C22" s="302" t="s">
        <v>27</v>
      </c>
      <c r="D22" s="303" t="s">
        <v>24</v>
      </c>
      <c r="E22" s="304" t="s">
        <v>75</v>
      </c>
      <c r="F22" s="486" t="s">
        <v>350</v>
      </c>
      <c r="G22" s="487"/>
      <c r="H22" s="488"/>
      <c r="I22" s="486" t="s">
        <v>355</v>
      </c>
      <c r="J22" s="487"/>
      <c r="K22" s="487"/>
      <c r="L22" s="487"/>
      <c r="M22" s="487"/>
      <c r="N22" s="327" t="str">
        <f>B17</f>
        <v>Выполнение графика прохождения ТО и ИО</v>
      </c>
      <c r="O22" s="328"/>
      <c r="P22" s="328"/>
      <c r="Q22" s="329"/>
      <c r="R22" s="489" t="s">
        <v>179</v>
      </c>
      <c r="S22" s="477" t="s">
        <v>53</v>
      </c>
      <c r="T22" s="473" t="s">
        <v>288</v>
      </c>
      <c r="U22" s="475" t="s">
        <v>151</v>
      </c>
    </row>
    <row r="23" spans="1:22" s="260" customFormat="1" ht="45">
      <c r="A23" s="480"/>
      <c r="B23" s="300"/>
      <c r="C23" s="300"/>
      <c r="D23" s="301"/>
      <c r="E23" s="305" t="s">
        <v>370</v>
      </c>
      <c r="F23" s="314" t="s">
        <v>106</v>
      </c>
      <c r="G23" s="300" t="s">
        <v>368</v>
      </c>
      <c r="H23" s="315" t="s">
        <v>243</v>
      </c>
      <c r="I23" s="314" t="s">
        <v>26</v>
      </c>
      <c r="J23" s="300" t="s">
        <v>64</v>
      </c>
      <c r="K23" s="300" t="s">
        <v>106</v>
      </c>
      <c r="L23" s="300" t="s">
        <v>368</v>
      </c>
      <c r="M23" s="299" t="s">
        <v>243</v>
      </c>
      <c r="N23" s="314" t="s">
        <v>369</v>
      </c>
      <c r="O23" s="300" t="s">
        <v>106</v>
      </c>
      <c r="P23" s="300" t="s">
        <v>368</v>
      </c>
      <c r="Q23" s="315" t="s">
        <v>243</v>
      </c>
      <c r="R23" s="490"/>
      <c r="S23" s="478"/>
      <c r="T23" s="474"/>
      <c r="U23" s="476"/>
    </row>
    <row r="24" spans="1:22" ht="20.100000000000001" customHeight="1">
      <c r="A24" s="306" t="s">
        <v>372</v>
      </c>
      <c r="B24" s="211" t="s">
        <v>308</v>
      </c>
      <c r="C24" s="2">
        <v>93</v>
      </c>
      <c r="D24" s="290">
        <f>'Д4-ФОТ '!N19+'Д4-ФОТ '!S19</f>
        <v>80000</v>
      </c>
      <c r="E24" s="307">
        <f>C24*$C$5</f>
        <v>139500</v>
      </c>
      <c r="F24" s="316">
        <v>0.99139999999999995</v>
      </c>
      <c r="G24" s="291">
        <f>IF(F24&lt;95%,$E$10,IF(F24&lt;96%,$F$10,IF(F24&lt;97%,G$10,IF(F24&lt;98%,$H$10,IF(F24&gt;=98%,$I$10)))))</f>
        <v>1</v>
      </c>
      <c r="H24" s="317">
        <f>E24*$C$9*G24</f>
        <v>55800</v>
      </c>
      <c r="I24" s="321">
        <v>12728286.289999999</v>
      </c>
      <c r="J24" s="11">
        <v>11104823.640000001</v>
      </c>
      <c r="K24" s="87">
        <f>J24/I24</f>
        <v>0.87245237787623653</v>
      </c>
      <c r="L24" s="13">
        <f>IF(K24&gt;=110%,$E$12,IF(K24&gt;=105%,$F$12,IF(K24&gt;100%,$G$12,IF(K24&lt;=100%,$H$12,))))</f>
        <v>1</v>
      </c>
      <c r="M24" s="324">
        <f>E24*$C$11*L24</f>
        <v>27900</v>
      </c>
      <c r="N24" s="321">
        <f>C24-8</f>
        <v>85</v>
      </c>
      <c r="O24" s="292">
        <f>N24/C24</f>
        <v>0.91397849462365588</v>
      </c>
      <c r="P24" s="2">
        <f>IF(O24&lt;$E$17,$E$18,IF(O24&lt;$F$17,$F$18,IF(O24&lt;$G$17,$G$18,IF(O24&lt;$H$17,$H$18,IF(O24&lt;=$I$17,$I$18)))))</f>
        <v>0</v>
      </c>
      <c r="Q24" s="317">
        <f>E24*$C$17*P24</f>
        <v>0</v>
      </c>
      <c r="R24" s="338">
        <f>H24+M24+Q24</f>
        <v>83700</v>
      </c>
      <c r="S24" s="331">
        <f>D24+R24</f>
        <v>163700</v>
      </c>
      <c r="T24" s="336">
        <f>3*1000</f>
        <v>3000</v>
      </c>
      <c r="U24" s="334">
        <f t="shared" ref="U24:U27" si="0">R24-T24</f>
        <v>80700</v>
      </c>
    </row>
    <row r="25" spans="1:22" ht="20.100000000000001" customHeight="1">
      <c r="A25" s="306" t="s">
        <v>372</v>
      </c>
      <c r="B25" s="211" t="s">
        <v>311</v>
      </c>
      <c r="C25" s="2">
        <v>67</v>
      </c>
      <c r="D25" s="290">
        <f>'Д4-ФОТ '!N23+'Д4-ФОТ '!S23</f>
        <v>80000</v>
      </c>
      <c r="E25" s="307">
        <f>C25*$C$5</f>
        <v>100500</v>
      </c>
      <c r="F25" s="316">
        <v>0.98560000000000003</v>
      </c>
      <c r="G25" s="291">
        <f>IF(F25&lt;95%,$E$10,IF(F25&lt;96%,$F$10,IF(F25&lt;97%,G$10,IF(F25&lt;98%,$H$10,IF(F25&gt;=98%,$I$10)))))</f>
        <v>1</v>
      </c>
      <c r="H25" s="317">
        <f>E25*$C$9*G25</f>
        <v>40200</v>
      </c>
      <c r="I25" s="321">
        <f>3023965.39+7644715.12</f>
        <v>10668680.51</v>
      </c>
      <c r="J25" s="11">
        <f>2526451.3+7064100.23</f>
        <v>9590551.5300000012</v>
      </c>
      <c r="K25" s="87">
        <f t="shared" ref="K25" si="1">J25/I25</f>
        <v>0.89894448718476072</v>
      </c>
      <c r="L25" s="13">
        <f>IF(K25&gt;=110%,$E$12,IF(K25&gt;=105%,$F$12,IF(K25&gt;100%,$G$12,IF(K25&lt;=100%,$H$12,))))</f>
        <v>1</v>
      </c>
      <c r="M25" s="324">
        <f>E25*$C$11*L25</f>
        <v>20100</v>
      </c>
      <c r="N25" s="321">
        <f>C25-2</f>
        <v>65</v>
      </c>
      <c r="O25" s="292">
        <f t="shared" ref="O25" si="2">N25/C25</f>
        <v>0.97014925373134331</v>
      </c>
      <c r="P25" s="2">
        <f>IF(O25&lt;$E$17,$E$18,IF(O25&lt;$F$17,$F$18,IF(O25&lt;$G$17,$G$18,IF(O25&lt;$H$17,$H$18,IF(O25&lt;=$I$17,$I$18)))))</f>
        <v>0.8</v>
      </c>
      <c r="Q25" s="317">
        <f>E25*$C$17*P25</f>
        <v>32160</v>
      </c>
      <c r="R25" s="338">
        <f>H25+M25+Q25</f>
        <v>92460</v>
      </c>
      <c r="S25" s="331">
        <f>D25+R25</f>
        <v>172460</v>
      </c>
      <c r="T25" s="336">
        <f>5*1000</f>
        <v>5000</v>
      </c>
      <c r="U25" s="334">
        <f t="shared" si="0"/>
        <v>87460</v>
      </c>
    </row>
    <row r="26" spans="1:22" ht="20.100000000000001" customHeight="1">
      <c r="A26" s="306" t="s">
        <v>372</v>
      </c>
      <c r="B26" s="211" t="s">
        <v>383</v>
      </c>
      <c r="C26" s="2">
        <v>65</v>
      </c>
      <c r="D26" s="290">
        <f>'Д4-ФОТ '!N26+'Д4-ФОТ '!S26</f>
        <v>80000</v>
      </c>
      <c r="E26" s="307">
        <f t="shared" ref="E26:E27" si="3">C26*$C$5</f>
        <v>97500</v>
      </c>
      <c r="F26" s="316">
        <v>0.98980000000000001</v>
      </c>
      <c r="G26" s="291">
        <f t="shared" ref="G26:G27" si="4">IF(F26&lt;95%,$E$10,IF(F26&lt;96%,$F$10,IF(F26&lt;97%,G$10,IF(F26&lt;98%,$H$10,IF(F26&gt;=98%,$I$10)))))</f>
        <v>1</v>
      </c>
      <c r="H26" s="317">
        <f t="shared" ref="H26:H27" si="5">E26*$C$9*G26</f>
        <v>39000</v>
      </c>
      <c r="I26" s="321">
        <v>11181846.189999999</v>
      </c>
      <c r="J26" s="11">
        <v>8279192.0199999996</v>
      </c>
      <c r="K26" s="87">
        <f t="shared" ref="K26:K27" si="6">J26/I26</f>
        <v>0.74041369191825734</v>
      </c>
      <c r="L26" s="13">
        <f t="shared" ref="L26:L27" si="7">IF(K26&gt;=110%,$E$12,IF(K26&gt;=105%,$F$12,IF(K26&gt;100%,$G$12,IF(K26&lt;=100%,$H$12,))))</f>
        <v>1</v>
      </c>
      <c r="M26" s="324">
        <f t="shared" ref="M26:M27" si="8">E26*$C$11*L26</f>
        <v>19500</v>
      </c>
      <c r="N26" s="321">
        <f>C26</f>
        <v>65</v>
      </c>
      <c r="O26" s="292">
        <f t="shared" ref="O26:O27" si="9">N26/C26</f>
        <v>1</v>
      </c>
      <c r="P26" s="2">
        <f t="shared" ref="P26:P27" si="10">IF(O26&lt;$E$17,$E$18,IF(O26&lt;$F$17,$F$18,IF(O26&lt;$G$17,$G$18,IF(O26&lt;$H$17,$H$18,IF(O26&lt;=$I$17,$I$18)))))</f>
        <v>1</v>
      </c>
      <c r="Q26" s="317">
        <f t="shared" ref="Q26:Q27" si="11">E26*$C$17*P26</f>
        <v>39000</v>
      </c>
      <c r="R26" s="338">
        <f t="shared" ref="R26:R27" si="12">H26+M26+Q26</f>
        <v>97500</v>
      </c>
      <c r="S26" s="331">
        <f t="shared" ref="S26:S27" si="13">D26+R26</f>
        <v>177500</v>
      </c>
      <c r="T26" s="336"/>
      <c r="U26" s="334">
        <f t="shared" si="0"/>
        <v>97500</v>
      </c>
    </row>
    <row r="27" spans="1:22" ht="20.100000000000001" customHeight="1" thickBot="1">
      <c r="A27" s="308" t="s">
        <v>372</v>
      </c>
      <c r="B27" s="309" t="s">
        <v>319</v>
      </c>
      <c r="C27" s="310">
        <v>137</v>
      </c>
      <c r="D27" s="311">
        <f>'Д4-ФОТ '!N28+'Д4-ФОТ '!S28</f>
        <v>80000</v>
      </c>
      <c r="E27" s="312">
        <f t="shared" si="3"/>
        <v>205500</v>
      </c>
      <c r="F27" s="318">
        <v>0.98740000000000006</v>
      </c>
      <c r="G27" s="319">
        <f t="shared" si="4"/>
        <v>1</v>
      </c>
      <c r="H27" s="320">
        <f t="shared" si="5"/>
        <v>82200</v>
      </c>
      <c r="I27" s="204">
        <v>25119820.510000002</v>
      </c>
      <c r="J27" s="205">
        <v>26471618.859999999</v>
      </c>
      <c r="K27" s="322">
        <f t="shared" si="6"/>
        <v>1.0538140131002074</v>
      </c>
      <c r="L27" s="323">
        <f t="shared" si="7"/>
        <v>0.6</v>
      </c>
      <c r="M27" s="325">
        <f t="shared" si="8"/>
        <v>24660</v>
      </c>
      <c r="N27" s="204">
        <f>C27-3</f>
        <v>134</v>
      </c>
      <c r="O27" s="330">
        <f t="shared" si="9"/>
        <v>0.97810218978102192</v>
      </c>
      <c r="P27" s="310">
        <f t="shared" si="10"/>
        <v>0.8</v>
      </c>
      <c r="Q27" s="320">
        <f t="shared" si="11"/>
        <v>65760</v>
      </c>
      <c r="R27" s="338">
        <f t="shared" si="12"/>
        <v>172620</v>
      </c>
      <c r="S27" s="331">
        <f t="shared" si="13"/>
        <v>252620</v>
      </c>
      <c r="T27" s="336">
        <f>4*1000</f>
        <v>4000</v>
      </c>
      <c r="U27" s="334">
        <f t="shared" si="0"/>
        <v>168620</v>
      </c>
    </row>
    <row r="28" spans="1:22" ht="15.75" thickBot="1">
      <c r="C28">
        <f>SUM(C24:C27)</f>
        <v>362</v>
      </c>
      <c r="D28" s="293">
        <f>SUM(D24:D27)</f>
        <v>320000</v>
      </c>
      <c r="E28" s="12">
        <f>SUM(E24:E27)</f>
        <v>543000</v>
      </c>
      <c r="F28" s="12"/>
      <c r="G28" s="12" t="s">
        <v>39</v>
      </c>
      <c r="H28" s="313">
        <f>SUM(H24:H27)</f>
        <v>217200</v>
      </c>
      <c r="I28" s="12">
        <f>SUM(I24:I27)</f>
        <v>59698633.5</v>
      </c>
      <c r="J28" s="12">
        <f>SUM(J24:J27)</f>
        <v>55446186.049999997</v>
      </c>
      <c r="K28" s="12"/>
      <c r="L28" s="12"/>
      <c r="M28" s="313">
        <f>SUM(M24:M27)</f>
        <v>92160</v>
      </c>
      <c r="N28" s="12"/>
      <c r="O28" s="12"/>
      <c r="P28" s="12"/>
      <c r="Q28" s="326">
        <f t="shared" ref="Q28:V28" si="14">SUM(Q24:Q27)</f>
        <v>136920</v>
      </c>
      <c r="R28" s="339">
        <f t="shared" si="14"/>
        <v>446280</v>
      </c>
      <c r="S28" s="332">
        <f t="shared" si="14"/>
        <v>766280</v>
      </c>
      <c r="T28" s="337">
        <f t="shared" si="14"/>
        <v>12000</v>
      </c>
      <c r="U28" s="335">
        <f t="shared" si="14"/>
        <v>434280</v>
      </c>
      <c r="V28" s="333">
        <f t="shared" si="14"/>
        <v>0</v>
      </c>
    </row>
    <row r="33" spans="3:5" ht="15.75">
      <c r="C33" s="287"/>
      <c r="D33" s="287"/>
      <c r="E33" s="294"/>
    </row>
    <row r="34" spans="3:5" ht="15.75">
      <c r="C34" s="295"/>
      <c r="D34" s="295"/>
      <c r="E34" s="294"/>
    </row>
    <row r="35" spans="3:5" ht="15.75">
      <c r="C35" s="296"/>
      <c r="D35" s="296"/>
      <c r="E35" s="294"/>
    </row>
    <row r="36" spans="3:5" ht="15.75">
      <c r="C36" s="297"/>
      <c r="D36" s="297"/>
      <c r="E36" s="294"/>
    </row>
    <row r="37" spans="3:5" ht="15.75">
      <c r="C37" s="296"/>
      <c r="D37" s="296"/>
      <c r="E37" s="294"/>
    </row>
    <row r="38" spans="3:5" ht="15.75">
      <c r="C38" s="286"/>
      <c r="D38" s="286"/>
      <c r="E38" s="294"/>
    </row>
    <row r="39" spans="3:5" ht="15.75">
      <c r="C39" s="286"/>
      <c r="D39" s="286"/>
      <c r="E39" s="294"/>
    </row>
    <row r="40" spans="3:5" ht="15.75">
      <c r="C40" s="286"/>
      <c r="D40" s="286"/>
      <c r="E40" s="294"/>
    </row>
    <row r="41" spans="3:5" ht="15.75">
      <c r="C41" s="286"/>
      <c r="D41" s="286"/>
      <c r="E41" s="294"/>
    </row>
    <row r="42" spans="3:5" ht="15.75">
      <c r="C42" s="298"/>
      <c r="D42" s="298"/>
      <c r="E42" s="294"/>
    </row>
  </sheetData>
  <mergeCells count="17">
    <mergeCell ref="T22:T23"/>
    <mergeCell ref="U22:U23"/>
    <mergeCell ref="S22:S23"/>
    <mergeCell ref="A22:A23"/>
    <mergeCell ref="B17:B18"/>
    <mergeCell ref="C17:C18"/>
    <mergeCell ref="D17:D18"/>
    <mergeCell ref="F22:H22"/>
    <mergeCell ref="I22:M22"/>
    <mergeCell ref="R22:R23"/>
    <mergeCell ref="E8:I8"/>
    <mergeCell ref="B9:B10"/>
    <mergeCell ref="C9:C10"/>
    <mergeCell ref="D9:D10"/>
    <mergeCell ref="B11:B12"/>
    <mergeCell ref="C11:C12"/>
    <mergeCell ref="D11:D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8"/>
  <sheetViews>
    <sheetView zoomScale="80" zoomScaleNormal="80" workbookViewId="0">
      <selection activeCell="AR30" sqref="AR30"/>
    </sheetView>
  </sheetViews>
  <sheetFormatPr defaultColWidth="8.5703125" defaultRowHeight="15.75" outlineLevelRow="1" outlineLevelCol="1"/>
  <cols>
    <col min="1" max="1" width="12.42578125" style="213" customWidth="1"/>
    <col min="2" max="2" width="37.28515625" style="259" customWidth="1"/>
    <col min="3" max="4" width="9" style="254" hidden="1" customWidth="1" outlineLevel="1"/>
    <col min="5" max="5" width="9" style="254" customWidth="1" collapsed="1"/>
    <col min="6" max="6" width="9" style="254" customWidth="1"/>
    <col min="7" max="7" width="11.28515625" style="254" customWidth="1"/>
    <col min="8" max="8" width="7.7109375" style="255" hidden="1" customWidth="1" outlineLevel="1"/>
    <col min="9" max="9" width="7.5703125" style="255" hidden="1" customWidth="1" outlineLevel="1"/>
    <col min="10" max="10" width="15" style="255" hidden="1" customWidth="1" outlineLevel="1"/>
    <col min="11" max="11" width="11.28515625" style="255" hidden="1" customWidth="1" outlineLevel="1"/>
    <col min="12" max="13" width="10.7109375" style="255" hidden="1" customWidth="1" outlineLevel="1"/>
    <col min="14" max="14" width="13.7109375" style="255" customWidth="1" collapsed="1"/>
    <col min="15" max="15" width="10.7109375" style="256" hidden="1" customWidth="1" outlineLevel="1"/>
    <col min="16" max="16" width="11.7109375" style="255" hidden="1" customWidth="1" outlineLevel="1"/>
    <col min="17" max="17" width="12.7109375" style="255" hidden="1" customWidth="1" outlineLevel="1"/>
    <col min="18" max="18" width="13" style="255" hidden="1" customWidth="1" outlineLevel="1"/>
    <col min="19" max="19" width="13.7109375" style="255" customWidth="1" collapsed="1"/>
    <col min="20" max="20" width="11.7109375" style="257" customWidth="1"/>
    <col min="21" max="21" width="11.7109375" style="255" customWidth="1"/>
    <col min="22" max="23" width="11.28515625" style="255" hidden="1" customWidth="1"/>
    <col min="24" max="24" width="11.28515625" style="255" customWidth="1"/>
    <col min="25" max="25" width="16.7109375" style="255" customWidth="1"/>
    <col min="26" max="26" width="16.7109375" style="255" hidden="1" customWidth="1" outlineLevel="1"/>
    <col min="27" max="27" width="16.5703125" style="255" hidden="1" customWidth="1" outlineLevel="1"/>
    <col min="28" max="28" width="17.7109375" style="255" hidden="1" customWidth="1" outlineLevel="1"/>
    <col min="29" max="29" width="18.42578125" style="255" hidden="1" customWidth="1" outlineLevel="1"/>
    <col min="30" max="30" width="12" style="258" customWidth="1" collapsed="1"/>
    <col min="31" max="16384" width="8.5703125" style="213"/>
  </cols>
  <sheetData>
    <row r="1" spans="1:30" ht="19.149999999999999" customHeight="1">
      <c r="A1" s="212" t="s">
        <v>275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</row>
    <row r="2" spans="1:30" ht="26.1" customHeight="1">
      <c r="A2" s="500" t="s">
        <v>276</v>
      </c>
      <c r="B2" s="500"/>
      <c r="C2" s="501" t="s">
        <v>24</v>
      </c>
      <c r="D2" s="501"/>
      <c r="E2" s="501"/>
      <c r="F2" s="501" t="s">
        <v>277</v>
      </c>
      <c r="G2" s="501" t="s">
        <v>278</v>
      </c>
      <c r="H2" s="502" t="s">
        <v>279</v>
      </c>
      <c r="I2" s="502"/>
      <c r="J2" s="503" t="s">
        <v>280</v>
      </c>
      <c r="K2" s="503"/>
      <c r="L2" s="503"/>
      <c r="M2" s="503"/>
      <c r="N2" s="503"/>
      <c r="O2" s="504" t="s">
        <v>281</v>
      </c>
      <c r="P2" s="494" t="s">
        <v>282</v>
      </c>
      <c r="Q2" s="494" t="s">
        <v>283</v>
      </c>
      <c r="R2" s="495" t="s">
        <v>284</v>
      </c>
      <c r="S2" s="496" t="s">
        <v>285</v>
      </c>
      <c r="T2" s="496"/>
      <c r="U2" s="496"/>
      <c r="V2" s="494" t="s">
        <v>286</v>
      </c>
      <c r="W2" s="494" t="s">
        <v>287</v>
      </c>
      <c r="X2" s="497" t="s">
        <v>288</v>
      </c>
      <c r="Y2" s="498" t="s">
        <v>89</v>
      </c>
      <c r="Z2" s="493" t="s">
        <v>289</v>
      </c>
      <c r="AA2" s="493" t="s">
        <v>290</v>
      </c>
      <c r="AB2" s="493"/>
      <c r="AC2" s="493" t="s">
        <v>291</v>
      </c>
      <c r="AD2" s="494" t="s">
        <v>292</v>
      </c>
    </row>
    <row r="3" spans="1:30" ht="50.1" customHeight="1">
      <c r="A3" s="214" t="s">
        <v>23</v>
      </c>
      <c r="B3" s="215" t="s">
        <v>293</v>
      </c>
      <c r="C3" s="216" t="s">
        <v>294</v>
      </c>
      <c r="D3" s="216" t="s">
        <v>295</v>
      </c>
      <c r="E3" s="216" t="s">
        <v>296</v>
      </c>
      <c r="F3" s="501"/>
      <c r="G3" s="501"/>
      <c r="H3" s="217" t="s">
        <v>26</v>
      </c>
      <c r="I3" s="217" t="s">
        <v>64</v>
      </c>
      <c r="J3" s="218" t="s">
        <v>24</v>
      </c>
      <c r="K3" s="218" t="s">
        <v>25</v>
      </c>
      <c r="L3" s="218" t="s">
        <v>286</v>
      </c>
      <c r="M3" s="219" t="s">
        <v>297</v>
      </c>
      <c r="N3" s="218" t="s">
        <v>298</v>
      </c>
      <c r="O3" s="504"/>
      <c r="P3" s="494"/>
      <c r="Q3" s="494"/>
      <c r="R3" s="495"/>
      <c r="S3" s="220" t="s">
        <v>24</v>
      </c>
      <c r="T3" s="220" t="s">
        <v>25</v>
      </c>
      <c r="U3" s="220" t="s">
        <v>298</v>
      </c>
      <c r="V3" s="494"/>
      <c r="W3" s="494"/>
      <c r="X3" s="497"/>
      <c r="Y3" s="498"/>
      <c r="Z3" s="493"/>
      <c r="AA3" s="493"/>
      <c r="AB3" s="493"/>
      <c r="AC3" s="493"/>
      <c r="AD3" s="494"/>
    </row>
    <row r="4" spans="1:30" ht="20.100000000000001" customHeight="1">
      <c r="A4" s="491" t="s">
        <v>300</v>
      </c>
      <c r="B4" s="492"/>
      <c r="C4" s="221">
        <f t="shared" ref="C4:AC4" si="0">C5+C7+C20+C38+C47</f>
        <v>928344</v>
      </c>
      <c r="D4" s="221">
        <f t="shared" si="0"/>
        <v>2395406</v>
      </c>
      <c r="E4" s="221">
        <f t="shared" si="0"/>
        <v>3323750</v>
      </c>
      <c r="F4" s="221">
        <f t="shared" si="0"/>
        <v>495000.03</v>
      </c>
      <c r="G4" s="221">
        <f t="shared" si="0"/>
        <v>3818750.0300000003</v>
      </c>
      <c r="H4" s="221">
        <f t="shared" si="0"/>
        <v>897</v>
      </c>
      <c r="I4" s="221">
        <f t="shared" si="0"/>
        <v>800</v>
      </c>
      <c r="J4" s="221">
        <f t="shared" si="0"/>
        <v>742079.82</v>
      </c>
      <c r="K4" s="221">
        <f t="shared" si="0"/>
        <v>142910.85</v>
      </c>
      <c r="L4" s="221">
        <f t="shared" si="0"/>
        <v>156805.77000000002</v>
      </c>
      <c r="M4" s="221">
        <f t="shared" si="0"/>
        <v>0</v>
      </c>
      <c r="N4" s="221">
        <f t="shared" si="0"/>
        <v>1041796.4400000001</v>
      </c>
      <c r="O4" s="221">
        <f t="shared" si="0"/>
        <v>149431.76999999999</v>
      </c>
      <c r="P4" s="221">
        <f t="shared" si="0"/>
        <v>435241.76000000007</v>
      </c>
      <c r="Q4" s="221">
        <f t="shared" si="0"/>
        <v>457122.91</v>
      </c>
      <c r="R4" s="221">
        <f t="shared" si="0"/>
        <v>81086.505706914337</v>
      </c>
      <c r="S4" s="221">
        <f t="shared" si="0"/>
        <v>1860946.4808695649</v>
      </c>
      <c r="T4" s="221" t="e">
        <f t="shared" si="0"/>
        <v>#REF!</v>
      </c>
      <c r="U4" s="221" t="e">
        <f t="shared" si="0"/>
        <v>#REF!</v>
      </c>
      <c r="V4" s="221">
        <f t="shared" si="0"/>
        <v>0</v>
      </c>
      <c r="W4" s="221">
        <f t="shared" si="0"/>
        <v>0</v>
      </c>
      <c r="X4" s="221">
        <f t="shared" si="0"/>
        <v>26838.833333333332</v>
      </c>
      <c r="Y4" s="221" t="e">
        <f t="shared" si="0"/>
        <v>#REF!</v>
      </c>
      <c r="Z4" s="221" t="e">
        <f t="shared" si="0"/>
        <v>#REF!</v>
      </c>
      <c r="AA4" s="221">
        <f t="shared" si="0"/>
        <v>1919000</v>
      </c>
      <c r="AB4" s="221">
        <f t="shared" si="0"/>
        <v>0</v>
      </c>
      <c r="AC4" s="221" t="e">
        <f t="shared" si="0"/>
        <v>#REF!</v>
      </c>
      <c r="AD4" s="251"/>
    </row>
    <row r="5" spans="1:30" ht="20.100000000000001" customHeight="1" outlineLevel="1">
      <c r="A5" s="252"/>
      <c r="B5" s="253" t="s">
        <v>73</v>
      </c>
      <c r="C5" s="244">
        <f>SUM(C6:C6)</f>
        <v>26250</v>
      </c>
      <c r="D5" s="244">
        <f t="shared" ref="D5:AC5" si="1">SUM(D6:D6)</f>
        <v>273750</v>
      </c>
      <c r="E5" s="244">
        <f t="shared" si="1"/>
        <v>300000</v>
      </c>
      <c r="F5" s="244">
        <f t="shared" si="1"/>
        <v>0.03</v>
      </c>
      <c r="G5" s="244">
        <f t="shared" si="1"/>
        <v>300000.03000000003</v>
      </c>
      <c r="H5" s="244">
        <f t="shared" si="1"/>
        <v>23</v>
      </c>
      <c r="I5" s="244">
        <f t="shared" si="1"/>
        <v>23</v>
      </c>
      <c r="J5" s="244">
        <f t="shared" si="1"/>
        <v>26250</v>
      </c>
      <c r="K5" s="244">
        <f t="shared" si="1"/>
        <v>5250</v>
      </c>
      <c r="L5" s="244">
        <f t="shared" si="1"/>
        <v>0</v>
      </c>
      <c r="M5" s="244">
        <f t="shared" si="1"/>
        <v>0</v>
      </c>
      <c r="N5" s="244">
        <f t="shared" si="1"/>
        <v>31500</v>
      </c>
      <c r="O5" s="244">
        <f t="shared" si="1"/>
        <v>3913</v>
      </c>
      <c r="P5" s="244">
        <f t="shared" si="1"/>
        <v>10922.35</v>
      </c>
      <c r="Q5" s="244">
        <f t="shared" si="1"/>
        <v>16664.650000000001</v>
      </c>
      <c r="R5" s="244">
        <f t="shared" si="1"/>
        <v>0</v>
      </c>
      <c r="S5" s="244">
        <f t="shared" si="1"/>
        <v>268500</v>
      </c>
      <c r="T5" s="244">
        <f t="shared" si="1"/>
        <v>0</v>
      </c>
      <c r="U5" s="244">
        <f t="shared" si="1"/>
        <v>268500</v>
      </c>
      <c r="V5" s="244">
        <f t="shared" si="1"/>
        <v>0</v>
      </c>
      <c r="W5" s="244">
        <f t="shared" si="1"/>
        <v>0</v>
      </c>
      <c r="X5" s="244">
        <f t="shared" si="1"/>
        <v>0</v>
      </c>
      <c r="Y5" s="244">
        <f t="shared" si="1"/>
        <v>300000</v>
      </c>
      <c r="Z5" s="244">
        <f t="shared" si="1"/>
        <v>268500</v>
      </c>
      <c r="AA5" s="244">
        <f>SUM(AA6:AA6)</f>
        <v>268500</v>
      </c>
      <c r="AB5" s="244">
        <f t="shared" si="1"/>
        <v>0</v>
      </c>
      <c r="AC5" s="244">
        <f t="shared" si="1"/>
        <v>0</v>
      </c>
      <c r="AD5" s="251"/>
    </row>
    <row r="6" spans="1:30" s="212" customFormat="1" ht="20.100000000000001" customHeight="1" outlineLevel="1">
      <c r="A6" s="223" t="s">
        <v>73</v>
      </c>
      <c r="B6" s="224" t="s">
        <v>206</v>
      </c>
      <c r="C6" s="225">
        <v>26250</v>
      </c>
      <c r="D6" s="225">
        <v>273750</v>
      </c>
      <c r="E6" s="225">
        <f>C6+D6</f>
        <v>300000</v>
      </c>
      <c r="F6" s="226">
        <v>0.03</v>
      </c>
      <c r="G6" s="227">
        <f t="shared" ref="G6" si="2">E6+F6</f>
        <v>300000.03000000003</v>
      </c>
      <c r="H6" s="225">
        <v>23</v>
      </c>
      <c r="I6" s="225">
        <v>23</v>
      </c>
      <c r="J6" s="228">
        <v>26250</v>
      </c>
      <c r="K6" s="228">
        <v>5250</v>
      </c>
      <c r="L6" s="228"/>
      <c r="M6" s="228"/>
      <c r="N6" s="229">
        <f t="shared" ref="N6" si="3">J6+K6+L6+M6</f>
        <v>31500</v>
      </c>
      <c r="O6" s="230">
        <v>3913</v>
      </c>
      <c r="P6" s="230">
        <v>10922.35</v>
      </c>
      <c r="Q6" s="229">
        <f t="shared" ref="Q6" si="4">N6-O6-P6</f>
        <v>16664.650000000001</v>
      </c>
      <c r="R6" s="250">
        <f>[1]июнь24!AC60</f>
        <v>0</v>
      </c>
      <c r="S6" s="229">
        <f>D6/H6*I6-K6</f>
        <v>268500</v>
      </c>
      <c r="T6" s="232">
        <v>0</v>
      </c>
      <c r="U6" s="248">
        <f>T6+S6</f>
        <v>268500</v>
      </c>
      <c r="V6" s="249"/>
      <c r="W6" s="249"/>
      <c r="X6" s="230"/>
      <c r="Y6" s="233">
        <f>N6+U6+V6+W6</f>
        <v>300000</v>
      </c>
      <c r="Z6" s="233">
        <f>Y6-O6-P6-Q6-X6</f>
        <v>268500</v>
      </c>
      <c r="AA6" s="231">
        <v>268500</v>
      </c>
      <c r="AB6" s="233">
        <v>0</v>
      </c>
      <c r="AC6" s="233">
        <f>R6+Z6-AA6-AB6</f>
        <v>0</v>
      </c>
      <c r="AD6" s="235"/>
    </row>
    <row r="7" spans="1:30" ht="20.100000000000001" customHeight="1" outlineLevel="1">
      <c r="A7" s="252"/>
      <c r="B7" s="253" t="s">
        <v>301</v>
      </c>
      <c r="C7" s="244">
        <f>SUM(C8:C19)</f>
        <v>291900</v>
      </c>
      <c r="D7" s="244">
        <f t="shared" ref="D7:AC7" si="5">SUM(D8:D19)</f>
        <v>1008100</v>
      </c>
      <c r="E7" s="244">
        <f t="shared" si="5"/>
        <v>1300000</v>
      </c>
      <c r="F7" s="244">
        <f t="shared" si="5"/>
        <v>0</v>
      </c>
      <c r="G7" s="244">
        <f t="shared" si="5"/>
        <v>1300000</v>
      </c>
      <c r="H7" s="244">
        <f t="shared" si="5"/>
        <v>276</v>
      </c>
      <c r="I7" s="244">
        <f t="shared" si="5"/>
        <v>250</v>
      </c>
      <c r="J7" s="244">
        <f t="shared" si="5"/>
        <v>228900</v>
      </c>
      <c r="K7" s="244">
        <f t="shared" si="5"/>
        <v>41214.78</v>
      </c>
      <c r="L7" s="244">
        <f t="shared" si="5"/>
        <v>86077.91</v>
      </c>
      <c r="M7" s="244">
        <f t="shared" si="5"/>
        <v>0</v>
      </c>
      <c r="N7" s="244">
        <f t="shared" si="5"/>
        <v>356192.69000000006</v>
      </c>
      <c r="O7" s="244">
        <f t="shared" si="5"/>
        <v>57674.009999999995</v>
      </c>
      <c r="P7" s="244">
        <f t="shared" si="5"/>
        <v>175125.56</v>
      </c>
      <c r="Q7" s="244">
        <f t="shared" si="5"/>
        <v>123393.12</v>
      </c>
      <c r="R7" s="244">
        <f t="shared" si="5"/>
        <v>80082.454901960766</v>
      </c>
      <c r="S7" s="244">
        <f t="shared" si="5"/>
        <v>677713.67913043476</v>
      </c>
      <c r="T7" s="244" t="e">
        <f t="shared" si="5"/>
        <v>#REF!</v>
      </c>
      <c r="U7" s="244" t="e">
        <f t="shared" si="5"/>
        <v>#REF!</v>
      </c>
      <c r="V7" s="244">
        <f t="shared" si="5"/>
        <v>0</v>
      </c>
      <c r="W7" s="244">
        <f t="shared" si="5"/>
        <v>0</v>
      </c>
      <c r="X7" s="244">
        <f t="shared" si="5"/>
        <v>26838.833333333332</v>
      </c>
      <c r="Y7" s="244" t="e">
        <f t="shared" si="5"/>
        <v>#REF!</v>
      </c>
      <c r="Z7" s="244" t="e">
        <f t="shared" si="5"/>
        <v>#REF!</v>
      </c>
      <c r="AA7" s="244">
        <f t="shared" si="5"/>
        <v>734200</v>
      </c>
      <c r="AB7" s="244">
        <f t="shared" si="5"/>
        <v>0</v>
      </c>
      <c r="AC7" s="244" t="e">
        <f t="shared" si="5"/>
        <v>#REF!</v>
      </c>
      <c r="AD7" s="251"/>
    </row>
    <row r="8" spans="1:30" ht="20.100000000000001" customHeight="1" outlineLevel="1">
      <c r="A8" s="214" t="s">
        <v>28</v>
      </c>
      <c r="B8" s="211" t="s">
        <v>264</v>
      </c>
      <c r="C8" s="236">
        <v>26250</v>
      </c>
      <c r="D8" s="236">
        <v>73750</v>
      </c>
      <c r="E8" s="225">
        <f t="shared" ref="E8:E9" si="6">C8+D8</f>
        <v>100000</v>
      </c>
      <c r="F8" s="237"/>
      <c r="G8" s="227">
        <f>E8+F8</f>
        <v>100000</v>
      </c>
      <c r="H8" s="225">
        <v>23</v>
      </c>
      <c r="I8" s="238">
        <v>23</v>
      </c>
      <c r="J8" s="239">
        <v>26250</v>
      </c>
      <c r="K8" s="239">
        <v>5250</v>
      </c>
      <c r="L8" s="239"/>
      <c r="M8" s="239"/>
      <c r="N8" s="240">
        <f t="shared" ref="N8:N19" si="7">J8+K8+L8+M8</f>
        <v>31500</v>
      </c>
      <c r="O8" s="241">
        <v>3848</v>
      </c>
      <c r="P8" s="241">
        <v>10922.35</v>
      </c>
      <c r="Q8" s="240">
        <f t="shared" ref="Q8:Q19" si="8">N8-O8-P8</f>
        <v>16729.650000000001</v>
      </c>
      <c r="R8" s="246">
        <f>[1]июнь24!AC63</f>
        <v>8.4711764705716632</v>
      </c>
      <c r="S8" s="240">
        <f>43*2000-J8-K8</f>
        <v>54500</v>
      </c>
      <c r="T8" s="232">
        <f>'НК, РГ'!AB54</f>
        <v>65000</v>
      </c>
      <c r="U8" s="247">
        <f>T8+S8</f>
        <v>119500</v>
      </c>
      <c r="V8" s="241"/>
      <c r="W8" s="241"/>
      <c r="X8" s="241"/>
      <c r="Y8" s="233">
        <f>N8+U8+V8+W8</f>
        <v>151000</v>
      </c>
      <c r="Z8" s="242">
        <f t="shared" ref="Z8:Z11" si="9">Y8-O8-P8-Q8-X8</f>
        <v>119500</v>
      </c>
      <c r="AA8" s="242">
        <v>56500</v>
      </c>
      <c r="AB8" s="242"/>
      <c r="AC8" s="242">
        <f t="shared" ref="AC8:AC11" si="10">R8+Z8-AA8-AB8</f>
        <v>63008.471176470572</v>
      </c>
      <c r="AD8" s="222"/>
    </row>
    <row r="9" spans="1:30" ht="20.100000000000001" customHeight="1" outlineLevel="1">
      <c r="A9" s="214" t="s">
        <v>28</v>
      </c>
      <c r="B9" s="211" t="s">
        <v>234</v>
      </c>
      <c r="C9" s="236">
        <v>26250</v>
      </c>
      <c r="D9" s="236">
        <v>73750</v>
      </c>
      <c r="E9" s="225">
        <f t="shared" si="6"/>
        <v>100000</v>
      </c>
      <c r="F9" s="237">
        <v>0</v>
      </c>
      <c r="G9" s="227">
        <f>E9+F9</f>
        <v>100000</v>
      </c>
      <c r="H9" s="225">
        <v>23</v>
      </c>
      <c r="I9" s="238">
        <v>23</v>
      </c>
      <c r="J9" s="239">
        <v>26250</v>
      </c>
      <c r="K9" s="239">
        <v>5250</v>
      </c>
      <c r="L9" s="239"/>
      <c r="M9" s="239"/>
      <c r="N9" s="240">
        <f t="shared" si="7"/>
        <v>31500</v>
      </c>
      <c r="O9" s="241">
        <v>4095</v>
      </c>
      <c r="P9" s="241">
        <v>10922.35</v>
      </c>
      <c r="Q9" s="240">
        <f t="shared" si="8"/>
        <v>16482.650000000001</v>
      </c>
      <c r="R9" s="246">
        <f>[1]июнь24!AC64</f>
        <v>75</v>
      </c>
      <c r="S9" s="240">
        <f>31*2000-J9-K9</f>
        <v>30500</v>
      </c>
      <c r="T9" s="232">
        <f>'НК, РГ'!AB56</f>
        <v>65000</v>
      </c>
      <c r="U9" s="247">
        <f>T9+S9</f>
        <v>95500</v>
      </c>
      <c r="V9" s="241"/>
      <c r="W9" s="241"/>
      <c r="X9" s="241">
        <f>352-352</f>
        <v>0</v>
      </c>
      <c r="Y9" s="233">
        <f>N9+U9+V9+W9</f>
        <v>127000</v>
      </c>
      <c r="Z9" s="242">
        <f t="shared" si="9"/>
        <v>95500</v>
      </c>
      <c r="AA9" s="242">
        <v>30500</v>
      </c>
      <c r="AB9" s="242"/>
      <c r="AC9" s="242">
        <f t="shared" si="10"/>
        <v>65075</v>
      </c>
      <c r="AD9" s="222"/>
    </row>
    <row r="10" spans="1:30" ht="20.100000000000001" customHeight="1" outlineLevel="1">
      <c r="A10" s="214" t="s">
        <v>28</v>
      </c>
      <c r="B10" s="211" t="s">
        <v>159</v>
      </c>
      <c r="C10" s="236">
        <v>26250</v>
      </c>
      <c r="D10" s="236">
        <v>73750</v>
      </c>
      <c r="E10" s="225">
        <f>C10+D10</f>
        <v>100000</v>
      </c>
      <c r="F10" s="237"/>
      <c r="G10" s="227">
        <f t="shared" ref="G10:G15" si="11">E10+F10</f>
        <v>100000</v>
      </c>
      <c r="H10" s="225">
        <v>23</v>
      </c>
      <c r="I10" s="238">
        <v>10</v>
      </c>
      <c r="J10" s="239">
        <v>11413.04</v>
      </c>
      <c r="K10" s="239">
        <v>0</v>
      </c>
      <c r="L10" s="239">
        <v>22551.48</v>
      </c>
      <c r="M10" s="239"/>
      <c r="N10" s="240">
        <f t="shared" si="7"/>
        <v>33964.520000000004</v>
      </c>
      <c r="O10" s="241">
        <f>4416+5909.71</f>
        <v>10325.709999999999</v>
      </c>
      <c r="P10" s="241">
        <v>23638.81</v>
      </c>
      <c r="Q10" s="240">
        <f t="shared" si="8"/>
        <v>0</v>
      </c>
      <c r="R10" s="246">
        <f>[1]июнь24!AC65</f>
        <v>13.339999999996508</v>
      </c>
      <c r="S10" s="240">
        <f>32*2000/23*10-J10</f>
        <v>16413.046956521739</v>
      </c>
      <c r="T10" s="232">
        <v>0</v>
      </c>
      <c r="U10" s="240">
        <f t="shared" ref="U10:U11" si="12">T10+S10</f>
        <v>16413.046956521739</v>
      </c>
      <c r="V10" s="241"/>
      <c r="W10" s="241"/>
      <c r="X10" s="241"/>
      <c r="Y10" s="233">
        <f t="shared" ref="Y10:Y11" si="13">N10+U10+V10+W10</f>
        <v>50377.566956521739</v>
      </c>
      <c r="Z10" s="242">
        <f t="shared" si="9"/>
        <v>16413.046956521739</v>
      </c>
      <c r="AA10" s="242">
        <v>16400</v>
      </c>
      <c r="AB10" s="242"/>
      <c r="AC10" s="242">
        <f t="shared" si="10"/>
        <v>26.386956521735556</v>
      </c>
      <c r="AD10" s="222"/>
    </row>
    <row r="11" spans="1:30" ht="20.100000000000001" customHeight="1" outlineLevel="1">
      <c r="A11" s="214" t="s">
        <v>28</v>
      </c>
      <c r="B11" s="211" t="s">
        <v>108</v>
      </c>
      <c r="C11" s="236">
        <v>26250</v>
      </c>
      <c r="D11" s="236">
        <v>73750</v>
      </c>
      <c r="E11" s="225">
        <f>C11+D11</f>
        <v>100000</v>
      </c>
      <c r="F11" s="237"/>
      <c r="G11" s="227">
        <f t="shared" si="11"/>
        <v>100000</v>
      </c>
      <c r="H11" s="225">
        <v>23</v>
      </c>
      <c r="I11" s="238">
        <v>10</v>
      </c>
      <c r="J11" s="239">
        <v>11413.04</v>
      </c>
      <c r="K11" s="239">
        <v>0</v>
      </c>
      <c r="L11" s="239">
        <v>17333.150000000001</v>
      </c>
      <c r="M11" s="239"/>
      <c r="N11" s="240">
        <f t="shared" si="7"/>
        <v>28746.190000000002</v>
      </c>
      <c r="O11" s="241">
        <f>3737+6252.3</f>
        <v>9989.2999999999993</v>
      </c>
      <c r="P11" s="241">
        <v>18756.89</v>
      </c>
      <c r="Q11" s="240">
        <f t="shared" si="8"/>
        <v>0</v>
      </c>
      <c r="R11" s="246">
        <f>[1]июнь24!AC66</f>
        <v>92.480000000010477</v>
      </c>
      <c r="S11" s="240">
        <f>33*2000/23*10-J11</f>
        <v>17282.612173913043</v>
      </c>
      <c r="T11" s="232">
        <v>0</v>
      </c>
      <c r="U11" s="240">
        <f t="shared" si="12"/>
        <v>17282.612173913043</v>
      </c>
      <c r="V11" s="241"/>
      <c r="W11" s="241"/>
      <c r="X11" s="241"/>
      <c r="Y11" s="233">
        <f t="shared" si="13"/>
        <v>46028.802173913049</v>
      </c>
      <c r="Z11" s="242">
        <f t="shared" si="9"/>
        <v>17282.612173913047</v>
      </c>
      <c r="AA11" s="242">
        <v>17300</v>
      </c>
      <c r="AB11" s="242"/>
      <c r="AC11" s="242">
        <f t="shared" si="10"/>
        <v>75.092173913057195</v>
      </c>
      <c r="AD11" s="222"/>
    </row>
    <row r="12" spans="1:30" ht="20.100000000000001" customHeight="1" outlineLevel="1">
      <c r="A12" s="214" t="s">
        <v>28</v>
      </c>
      <c r="B12" s="211" t="s">
        <v>235</v>
      </c>
      <c r="C12" s="236">
        <v>26250</v>
      </c>
      <c r="D12" s="236">
        <v>73750</v>
      </c>
      <c r="E12" s="225">
        <f t="shared" ref="E12:E14" si="14">C12+D12</f>
        <v>100000</v>
      </c>
      <c r="F12" s="237">
        <v>0</v>
      </c>
      <c r="G12" s="227">
        <f t="shared" si="11"/>
        <v>100000</v>
      </c>
      <c r="H12" s="225">
        <v>23</v>
      </c>
      <c r="I12" s="238">
        <v>23</v>
      </c>
      <c r="J12" s="239">
        <v>26250</v>
      </c>
      <c r="K12" s="239">
        <v>5250</v>
      </c>
      <c r="L12" s="239"/>
      <c r="M12" s="239"/>
      <c r="N12" s="240">
        <f t="shared" si="7"/>
        <v>31500</v>
      </c>
      <c r="O12" s="241">
        <v>4095</v>
      </c>
      <c r="P12" s="241">
        <v>10922.35</v>
      </c>
      <c r="Q12" s="240">
        <f t="shared" si="8"/>
        <v>16482.650000000001</v>
      </c>
      <c r="R12" s="246">
        <f>[1]июнь24!AC67</f>
        <v>50</v>
      </c>
      <c r="S12" s="240"/>
      <c r="T12" s="232" t="e">
        <f>'НК, РГ'!#REF!</f>
        <v>#REF!</v>
      </c>
      <c r="U12" s="240" t="e">
        <f>T12+S12</f>
        <v>#REF!</v>
      </c>
      <c r="V12" s="241"/>
      <c r="W12" s="241"/>
      <c r="X12" s="241">
        <f>1457-1457</f>
        <v>0</v>
      </c>
      <c r="Y12" s="233" t="e">
        <f>N12+U12+V12+W12</f>
        <v>#REF!</v>
      </c>
      <c r="Z12" s="242" t="e">
        <f>Y12-O12-P12-Q12-X12</f>
        <v>#REF!</v>
      </c>
      <c r="AA12" s="242"/>
      <c r="AB12" s="242"/>
      <c r="AC12" s="242" t="e">
        <f>R12+Z12-AA12-AB12</f>
        <v>#REF!</v>
      </c>
      <c r="AD12" s="222"/>
    </row>
    <row r="13" spans="1:30" ht="20.100000000000001" customHeight="1" outlineLevel="1">
      <c r="A13" s="214" t="s">
        <v>28</v>
      </c>
      <c r="B13" s="211" t="s">
        <v>258</v>
      </c>
      <c r="C13" s="236">
        <v>26250</v>
      </c>
      <c r="D13" s="236">
        <v>73750</v>
      </c>
      <c r="E13" s="225">
        <f t="shared" si="14"/>
        <v>100000</v>
      </c>
      <c r="F13" s="237"/>
      <c r="G13" s="227">
        <f t="shared" si="11"/>
        <v>100000</v>
      </c>
      <c r="H13" s="225">
        <v>23</v>
      </c>
      <c r="I13" s="238">
        <v>23</v>
      </c>
      <c r="J13" s="239">
        <v>26250</v>
      </c>
      <c r="K13" s="239">
        <v>5250</v>
      </c>
      <c r="L13" s="239"/>
      <c r="M13" s="239"/>
      <c r="N13" s="240">
        <f t="shared" si="7"/>
        <v>31500</v>
      </c>
      <c r="O13" s="241">
        <v>3913</v>
      </c>
      <c r="P13" s="241">
        <v>10922.35</v>
      </c>
      <c r="Q13" s="240">
        <f t="shared" si="8"/>
        <v>16664.650000000001</v>
      </c>
      <c r="R13" s="246">
        <f>[1]июнь24!AC68</f>
        <v>0</v>
      </c>
      <c r="S13" s="240">
        <f>67*2000-J13-K13</f>
        <v>102500</v>
      </c>
      <c r="T13" s="232">
        <f>'НК, РГ'!AB55</f>
        <v>77000</v>
      </c>
      <c r="U13" s="240">
        <f t="shared" ref="U13:U37" si="15">T13+S13</f>
        <v>179500</v>
      </c>
      <c r="V13" s="241"/>
      <c r="W13" s="241"/>
      <c r="X13" s="241">
        <v>1850</v>
      </c>
      <c r="Y13" s="233">
        <f t="shared" ref="Y13:Y37" si="16">N13+U13+V13+W13</f>
        <v>211000</v>
      </c>
      <c r="Z13" s="242">
        <f>Y13-O13-P13-Q13-X13</f>
        <v>177650</v>
      </c>
      <c r="AA13" s="242">
        <v>102500</v>
      </c>
      <c r="AB13" s="242"/>
      <c r="AC13" s="242">
        <f>R13+Z13-AA13-AB13</f>
        <v>75150</v>
      </c>
      <c r="AD13" s="222"/>
    </row>
    <row r="14" spans="1:30" s="212" customFormat="1" ht="20.100000000000001" customHeight="1" outlineLevel="1">
      <c r="A14" s="223" t="s">
        <v>302</v>
      </c>
      <c r="B14" s="224" t="s">
        <v>260</v>
      </c>
      <c r="C14" s="225"/>
      <c r="D14" s="225">
        <v>150000</v>
      </c>
      <c r="E14" s="225">
        <f t="shared" si="14"/>
        <v>150000</v>
      </c>
      <c r="F14" s="245"/>
      <c r="G14" s="227">
        <f t="shared" si="11"/>
        <v>150000</v>
      </c>
      <c r="H14" s="225">
        <v>23</v>
      </c>
      <c r="I14" s="225">
        <v>23</v>
      </c>
      <c r="J14" s="228"/>
      <c r="K14" s="228"/>
      <c r="L14" s="228"/>
      <c r="M14" s="228"/>
      <c r="N14" s="229">
        <f t="shared" si="7"/>
        <v>0</v>
      </c>
      <c r="O14" s="230"/>
      <c r="P14" s="230"/>
      <c r="Q14" s="229">
        <f t="shared" si="8"/>
        <v>0</v>
      </c>
      <c r="R14" s="246">
        <f>[1]июнь24!AC69</f>
        <v>49.166666666656965</v>
      </c>
      <c r="S14" s="240">
        <f>D14/H14*I14-K14</f>
        <v>150000</v>
      </c>
      <c r="T14" s="232">
        <f>'НК, РГ'!P20</f>
        <v>0</v>
      </c>
      <c r="U14" s="229">
        <f t="shared" si="15"/>
        <v>150000</v>
      </c>
      <c r="V14" s="230"/>
      <c r="W14" s="230"/>
      <c r="X14" s="241">
        <f>140105/6+650</f>
        <v>24000.833333333332</v>
      </c>
      <c r="Y14" s="233">
        <f t="shared" si="16"/>
        <v>150000</v>
      </c>
      <c r="Z14" s="231">
        <f t="shared" ref="Z14:Z37" si="17">Y14-O14-P14-Q14-X14</f>
        <v>125999.16666666667</v>
      </c>
      <c r="AA14" s="234">
        <f>25000+101000</f>
        <v>126000</v>
      </c>
      <c r="AB14" s="231"/>
      <c r="AC14" s="231">
        <f t="shared" ref="AC14:AC37" si="18">R14+Z14-AA14-AB14</f>
        <v>48.333333333328483</v>
      </c>
      <c r="AD14" s="235"/>
    </row>
    <row r="15" spans="1:30" ht="20.100000000000001" customHeight="1" outlineLevel="1">
      <c r="A15" s="214" t="s">
        <v>28</v>
      </c>
      <c r="B15" s="211" t="s">
        <v>261</v>
      </c>
      <c r="C15" s="236">
        <v>26250</v>
      </c>
      <c r="D15" s="236">
        <v>73750</v>
      </c>
      <c r="E15" s="225">
        <f>C15+D15</f>
        <v>100000</v>
      </c>
      <c r="F15" s="237"/>
      <c r="G15" s="227">
        <f t="shared" si="11"/>
        <v>100000</v>
      </c>
      <c r="H15" s="225">
        <v>23</v>
      </c>
      <c r="I15" s="238">
        <v>23</v>
      </c>
      <c r="J15" s="239">
        <v>26250</v>
      </c>
      <c r="K15" s="239">
        <v>5250</v>
      </c>
      <c r="L15" s="239"/>
      <c r="M15" s="239"/>
      <c r="N15" s="240">
        <f t="shared" si="7"/>
        <v>31500</v>
      </c>
      <c r="O15" s="241">
        <v>3913</v>
      </c>
      <c r="P15" s="241">
        <v>10922.35</v>
      </c>
      <c r="Q15" s="240">
        <f t="shared" si="8"/>
        <v>16664.650000000001</v>
      </c>
      <c r="R15" s="246">
        <f>[1]июнь24!AC70</f>
        <v>84</v>
      </c>
      <c r="S15" s="240">
        <f>42*2000-J15-K15</f>
        <v>52500</v>
      </c>
      <c r="T15" s="232">
        <f>'НК, РГ'!AB52</f>
        <v>65000</v>
      </c>
      <c r="U15" s="240">
        <f t="shared" si="15"/>
        <v>117500</v>
      </c>
      <c r="V15" s="241"/>
      <c r="W15" s="241"/>
      <c r="X15" s="241">
        <v>988</v>
      </c>
      <c r="Y15" s="233">
        <f t="shared" si="16"/>
        <v>149000</v>
      </c>
      <c r="Z15" s="242">
        <f t="shared" si="17"/>
        <v>116512</v>
      </c>
      <c r="AA15" s="242">
        <v>51500</v>
      </c>
      <c r="AB15" s="242"/>
      <c r="AC15" s="242">
        <f t="shared" si="18"/>
        <v>65096</v>
      </c>
      <c r="AD15" s="222"/>
    </row>
    <row r="16" spans="1:30" ht="20.100000000000001" customHeight="1" outlineLevel="1">
      <c r="A16" s="214" t="s">
        <v>28</v>
      </c>
      <c r="B16" s="211" t="s">
        <v>199</v>
      </c>
      <c r="C16" s="236">
        <v>26250</v>
      </c>
      <c r="D16" s="236">
        <v>73750</v>
      </c>
      <c r="E16" s="225">
        <f t="shared" ref="E16:E17" si="19">C16+D16</f>
        <v>100000</v>
      </c>
      <c r="F16" s="237"/>
      <c r="G16" s="227">
        <f>E16+F16</f>
        <v>100000</v>
      </c>
      <c r="H16" s="225">
        <v>23</v>
      </c>
      <c r="I16" s="238">
        <v>23</v>
      </c>
      <c r="J16" s="239">
        <v>14836.96</v>
      </c>
      <c r="K16" s="239">
        <v>2967.39</v>
      </c>
      <c r="L16" s="239">
        <v>15024.38</v>
      </c>
      <c r="M16" s="239"/>
      <c r="N16" s="240">
        <f t="shared" si="7"/>
        <v>32828.729999999996</v>
      </c>
      <c r="O16" s="241">
        <v>4267</v>
      </c>
      <c r="P16" s="241">
        <f>4964.52+13071.38</f>
        <v>18035.900000000001</v>
      </c>
      <c r="Q16" s="240">
        <f t="shared" si="8"/>
        <v>10525.829999999994</v>
      </c>
      <c r="R16" s="246">
        <f>[1]июнь24!AC71</f>
        <v>69</v>
      </c>
      <c r="S16" s="240">
        <f>30*2000-J16-K16-L16</f>
        <v>27171.270000000004</v>
      </c>
      <c r="T16" s="232" t="e">
        <f>'НК, РГ'!#REF!</f>
        <v>#REF!</v>
      </c>
      <c r="U16" s="240" t="e">
        <f t="shared" si="15"/>
        <v>#REF!</v>
      </c>
      <c r="V16" s="241"/>
      <c r="W16" s="241"/>
      <c r="X16" s="241"/>
      <c r="Y16" s="233" t="e">
        <f t="shared" si="16"/>
        <v>#REF!</v>
      </c>
      <c r="Z16" s="242" t="e">
        <f t="shared" si="17"/>
        <v>#REF!</v>
      </c>
      <c r="AA16" s="242">
        <f>7200+20000</f>
        <v>27200</v>
      </c>
      <c r="AB16" s="242"/>
      <c r="AC16" s="242" t="e">
        <f t="shared" si="18"/>
        <v>#REF!</v>
      </c>
      <c r="AD16" s="222"/>
    </row>
    <row r="17" spans="1:30" ht="20.100000000000001" customHeight="1" outlineLevel="1">
      <c r="A17" s="214" t="s">
        <v>28</v>
      </c>
      <c r="B17" s="211" t="s">
        <v>232</v>
      </c>
      <c r="C17" s="236">
        <v>26250</v>
      </c>
      <c r="D17" s="236">
        <v>73750</v>
      </c>
      <c r="E17" s="225">
        <f t="shared" si="19"/>
        <v>100000</v>
      </c>
      <c r="F17" s="237"/>
      <c r="G17" s="227">
        <f>E17+F17</f>
        <v>100000</v>
      </c>
      <c r="H17" s="225">
        <v>23</v>
      </c>
      <c r="I17" s="238">
        <v>23</v>
      </c>
      <c r="J17" s="239">
        <v>17119.57</v>
      </c>
      <c r="K17" s="239">
        <v>3423.91</v>
      </c>
      <c r="L17" s="239">
        <v>14404.74</v>
      </c>
      <c r="M17" s="239"/>
      <c r="N17" s="240">
        <f t="shared" si="7"/>
        <v>34948.22</v>
      </c>
      <c r="O17" s="241">
        <v>4544</v>
      </c>
      <c r="P17" s="241">
        <f>10922.35+12531.74</f>
        <v>23454.09</v>
      </c>
      <c r="Q17" s="240">
        <f t="shared" si="8"/>
        <v>6950.130000000001</v>
      </c>
      <c r="R17" s="246">
        <f>[1]июнь24!AC72</f>
        <v>31.997058823530097</v>
      </c>
      <c r="S17" s="240">
        <f>52*2000-J17-K17-L17</f>
        <v>69051.779999999984</v>
      </c>
      <c r="T17" s="232">
        <f>'НК, РГ'!AB53</f>
        <v>60300</v>
      </c>
      <c r="U17" s="240">
        <f t="shared" si="15"/>
        <v>129351.77999999998</v>
      </c>
      <c r="V17" s="241"/>
      <c r="W17" s="241"/>
      <c r="X17" s="241"/>
      <c r="Y17" s="233">
        <f t="shared" si="16"/>
        <v>164300</v>
      </c>
      <c r="Z17" s="242">
        <f t="shared" si="17"/>
        <v>129351.78</v>
      </c>
      <c r="AA17" s="242">
        <v>69000</v>
      </c>
      <c r="AB17" s="242"/>
      <c r="AC17" s="242">
        <f t="shared" si="18"/>
        <v>60383.777058823529</v>
      </c>
      <c r="AD17" s="222"/>
    </row>
    <row r="18" spans="1:30" s="212" customFormat="1" ht="20.100000000000001" customHeight="1" outlineLevel="1">
      <c r="A18" s="223" t="s">
        <v>302</v>
      </c>
      <c r="B18" s="224" t="s">
        <v>254</v>
      </c>
      <c r="C18" s="225">
        <v>29400</v>
      </c>
      <c r="D18" s="225">
        <f>E18-C18</f>
        <v>120600</v>
      </c>
      <c r="E18" s="225">
        <v>150000</v>
      </c>
      <c r="F18" s="245"/>
      <c r="G18" s="227">
        <f t="shared" ref="G18" si="20">E18+F18</f>
        <v>150000</v>
      </c>
      <c r="H18" s="225">
        <v>23</v>
      </c>
      <c r="I18" s="225">
        <v>23</v>
      </c>
      <c r="J18" s="228">
        <v>16617.39</v>
      </c>
      <c r="K18" s="228">
        <v>3323.48</v>
      </c>
      <c r="L18" s="228">
        <v>16764.16</v>
      </c>
      <c r="M18" s="228"/>
      <c r="N18" s="229">
        <f t="shared" si="7"/>
        <v>36705.03</v>
      </c>
      <c r="O18" s="230">
        <v>4589</v>
      </c>
      <c r="P18" s="230">
        <f>11120.61+14585.16</f>
        <v>25705.77</v>
      </c>
      <c r="Q18" s="229">
        <f t="shared" si="8"/>
        <v>6410.2599999999984</v>
      </c>
      <c r="R18" s="246">
        <f>[1]июнь24!AC73</f>
        <v>79559</v>
      </c>
      <c r="S18" s="240">
        <f>D18/H18*I18-K18-3981.55</f>
        <v>113294.97</v>
      </c>
      <c r="T18" s="232">
        <f>'НК, РГ'!P21</f>
        <v>0</v>
      </c>
      <c r="U18" s="229">
        <f t="shared" si="15"/>
        <v>113294.97</v>
      </c>
      <c r="V18" s="230"/>
      <c r="W18" s="230"/>
      <c r="X18" s="230"/>
      <c r="Y18" s="233">
        <f t="shared" si="16"/>
        <v>150000</v>
      </c>
      <c r="Z18" s="231">
        <f t="shared" si="17"/>
        <v>113294.97</v>
      </c>
      <c r="AA18" s="231">
        <v>192800</v>
      </c>
      <c r="AB18" s="231"/>
      <c r="AC18" s="231">
        <f t="shared" si="18"/>
        <v>53.970000000001164</v>
      </c>
      <c r="AD18" s="235"/>
    </row>
    <row r="19" spans="1:30" ht="20.100000000000001" customHeight="1" outlineLevel="1">
      <c r="A19" s="214" t="s">
        <v>28</v>
      </c>
      <c r="B19" s="211" t="s">
        <v>255</v>
      </c>
      <c r="C19" s="236">
        <v>26250</v>
      </c>
      <c r="D19" s="236">
        <v>73750</v>
      </c>
      <c r="E19" s="225">
        <f t="shared" ref="E19" si="21">C19+D19</f>
        <v>100000</v>
      </c>
      <c r="F19" s="237">
        <v>0</v>
      </c>
      <c r="G19" s="227">
        <f>E19+F19</f>
        <v>100000</v>
      </c>
      <c r="H19" s="225">
        <v>23</v>
      </c>
      <c r="I19" s="238">
        <v>23</v>
      </c>
      <c r="J19" s="239">
        <v>26250</v>
      </c>
      <c r="K19" s="239">
        <v>5250</v>
      </c>
      <c r="L19" s="239"/>
      <c r="M19" s="239"/>
      <c r="N19" s="240">
        <f t="shared" si="7"/>
        <v>31500</v>
      </c>
      <c r="O19" s="241">
        <v>4095</v>
      </c>
      <c r="P19" s="241">
        <v>10922.35</v>
      </c>
      <c r="Q19" s="240">
        <f t="shared" si="8"/>
        <v>16482.650000000001</v>
      </c>
      <c r="R19" s="246">
        <f>[1]июнь24!AC74</f>
        <v>50</v>
      </c>
      <c r="S19" s="240">
        <f>38*2000-J19-K19</f>
        <v>44500</v>
      </c>
      <c r="T19" s="232" t="e">
        <f>'НК, РГ'!#REF!</f>
        <v>#REF!</v>
      </c>
      <c r="U19" s="247" t="e">
        <f>T19+S19</f>
        <v>#REF!</v>
      </c>
      <c r="V19" s="241"/>
      <c r="W19" s="241"/>
      <c r="X19" s="241"/>
      <c r="Y19" s="233" t="e">
        <f>N19+U19+V19+W19</f>
        <v>#REF!</v>
      </c>
      <c r="Z19" s="242" t="e">
        <f t="shared" si="17"/>
        <v>#REF!</v>
      </c>
      <c r="AA19" s="242">
        <v>44500</v>
      </c>
      <c r="AB19" s="242"/>
      <c r="AC19" s="242" t="e">
        <f t="shared" si="18"/>
        <v>#REF!</v>
      </c>
      <c r="AD19" s="222"/>
    </row>
    <row r="20" spans="1:30" ht="20.100000000000001" customHeight="1" outlineLevel="1">
      <c r="A20" s="252"/>
      <c r="B20" s="253" t="s">
        <v>303</v>
      </c>
      <c r="C20" s="244">
        <f>SUM(C21:C37)</f>
        <v>430200</v>
      </c>
      <c r="D20" s="244">
        <f t="shared" ref="D20:F20" si="22">SUM(D21:D37)</f>
        <v>869800</v>
      </c>
      <c r="E20" s="244">
        <f t="shared" si="22"/>
        <v>1300000</v>
      </c>
      <c r="F20" s="244">
        <f t="shared" si="22"/>
        <v>370000</v>
      </c>
      <c r="G20" s="244">
        <f>SUM(G21:G37)</f>
        <v>1670000</v>
      </c>
      <c r="H20" s="244">
        <f t="shared" ref="H20:AC20" si="23">SUM(H21:H37)</f>
        <v>391</v>
      </c>
      <c r="I20" s="244">
        <f t="shared" si="23"/>
        <v>343</v>
      </c>
      <c r="J20" s="244">
        <f t="shared" si="23"/>
        <v>357186.22</v>
      </c>
      <c r="K20" s="244">
        <f t="shared" si="23"/>
        <v>70827.650000000009</v>
      </c>
      <c r="L20" s="244">
        <f t="shared" si="23"/>
        <v>38727.01</v>
      </c>
      <c r="M20" s="244">
        <f t="shared" si="23"/>
        <v>0</v>
      </c>
      <c r="N20" s="244">
        <f t="shared" si="23"/>
        <v>466740.87999999995</v>
      </c>
      <c r="O20" s="244">
        <f t="shared" si="23"/>
        <v>64422.76</v>
      </c>
      <c r="P20" s="244">
        <f t="shared" si="23"/>
        <v>172958.05000000005</v>
      </c>
      <c r="Q20" s="244">
        <f t="shared" si="23"/>
        <v>229360.07</v>
      </c>
      <c r="R20" s="244">
        <f t="shared" si="23"/>
        <v>501.90551083588616</v>
      </c>
      <c r="S20" s="244">
        <f t="shared" si="23"/>
        <v>715567.89173913037</v>
      </c>
      <c r="T20" s="244">
        <f t="shared" si="23"/>
        <v>310869.56521739135</v>
      </c>
      <c r="U20" s="244">
        <f t="shared" si="23"/>
        <v>1026437.4569565217</v>
      </c>
      <c r="V20" s="244">
        <f t="shared" si="23"/>
        <v>0</v>
      </c>
      <c r="W20" s="244">
        <f t="shared" si="23"/>
        <v>0</v>
      </c>
      <c r="X20" s="244">
        <f t="shared" si="23"/>
        <v>0</v>
      </c>
      <c r="Y20" s="244">
        <f t="shared" si="23"/>
        <v>1493178.336956522</v>
      </c>
      <c r="Z20" s="244">
        <f t="shared" si="23"/>
        <v>1026437.4569565217</v>
      </c>
      <c r="AA20" s="244">
        <f>SUM(AA21:AA37)</f>
        <v>717000</v>
      </c>
      <c r="AB20" s="244">
        <f t="shared" si="23"/>
        <v>0</v>
      </c>
      <c r="AC20" s="244">
        <f t="shared" si="23"/>
        <v>309939.36246735766</v>
      </c>
      <c r="AD20" s="222"/>
    </row>
    <row r="21" spans="1:30" ht="20.100000000000001" customHeight="1" outlineLevel="1">
      <c r="A21" s="214" t="s">
        <v>304</v>
      </c>
      <c r="B21" s="211" t="s">
        <v>305</v>
      </c>
      <c r="C21" s="236">
        <v>23630</v>
      </c>
      <c r="D21" s="236">
        <v>21370</v>
      </c>
      <c r="E21" s="225">
        <f t="shared" ref="E21:E30" si="24">C21+D21</f>
        <v>45000</v>
      </c>
      <c r="F21" s="237">
        <v>30000</v>
      </c>
      <c r="G21" s="227">
        <f t="shared" ref="G21:G27" si="25">E21+F21</f>
        <v>75000</v>
      </c>
      <c r="H21" s="225">
        <v>23</v>
      </c>
      <c r="I21" s="238">
        <v>11</v>
      </c>
      <c r="J21" s="239">
        <f>17328.67+1906.62</f>
        <v>19235.289999999997</v>
      </c>
      <c r="K21" s="239">
        <v>3465.73</v>
      </c>
      <c r="L21" s="239"/>
      <c r="M21" s="239"/>
      <c r="N21" s="240">
        <f t="shared" ref="N21:N37" si="26">J21+K21+L21+M21</f>
        <v>22701.019999999997</v>
      </c>
      <c r="O21" s="241">
        <v>2951</v>
      </c>
      <c r="P21" s="241">
        <v>4111</v>
      </c>
      <c r="Q21" s="240">
        <f t="shared" ref="Q21:Q37" si="27">N21-O21-P21</f>
        <v>15639.019999999997</v>
      </c>
      <c r="R21" s="246">
        <f>[1]июнь24!AC76</f>
        <v>-20.629999999997381</v>
      </c>
      <c r="S21" s="240">
        <f>D21/H21*I21-K21</f>
        <v>6754.7047826086964</v>
      </c>
      <c r="T21" s="232">
        <f>F21/H21*I21</f>
        <v>14347.826086956522</v>
      </c>
      <c r="U21" s="240">
        <f t="shared" ref="U21:U22" si="28">T21+S21</f>
        <v>21102.53086956522</v>
      </c>
      <c r="V21" s="241"/>
      <c r="W21" s="241"/>
      <c r="X21" s="241"/>
      <c r="Y21" s="233">
        <f t="shared" si="16"/>
        <v>43803.550869565217</v>
      </c>
      <c r="Z21" s="242">
        <f t="shared" ref="Z21:Z22" si="29">Y21-O21-P21-Q21-X21</f>
        <v>21102.53086956522</v>
      </c>
      <c r="AA21" s="242">
        <v>6700</v>
      </c>
      <c r="AB21" s="242"/>
      <c r="AC21" s="242">
        <f t="shared" ref="AC21:AC22" si="30">R21+Z21-AA21-AB21</f>
        <v>14381.900869565223</v>
      </c>
      <c r="AD21" s="222"/>
    </row>
    <row r="22" spans="1:30" ht="20.100000000000001" customHeight="1" outlineLevel="1">
      <c r="A22" s="214" t="s">
        <v>306</v>
      </c>
      <c r="B22" s="211" t="s">
        <v>307</v>
      </c>
      <c r="C22" s="236">
        <v>26250</v>
      </c>
      <c r="D22" s="236">
        <v>73750</v>
      </c>
      <c r="E22" s="225">
        <f t="shared" si="24"/>
        <v>100000</v>
      </c>
      <c r="F22" s="237">
        <v>0</v>
      </c>
      <c r="G22" s="227">
        <f t="shared" si="25"/>
        <v>100000</v>
      </c>
      <c r="H22" s="225">
        <v>23</v>
      </c>
      <c r="I22" s="238">
        <v>13</v>
      </c>
      <c r="J22" s="239">
        <v>14836.96</v>
      </c>
      <c r="K22" s="239">
        <v>2967.39</v>
      </c>
      <c r="L22" s="239"/>
      <c r="M22" s="239"/>
      <c r="N22" s="240">
        <f t="shared" si="26"/>
        <v>17804.349999999999</v>
      </c>
      <c r="O22" s="241">
        <v>2315</v>
      </c>
      <c r="P22" s="241">
        <v>993.3</v>
      </c>
      <c r="Q22" s="240">
        <f t="shared" si="27"/>
        <v>14496.05</v>
      </c>
      <c r="R22" s="246">
        <v>0</v>
      </c>
      <c r="S22" s="240">
        <f>D22/H22*I22-K22</f>
        <v>38717.392608695656</v>
      </c>
      <c r="T22" s="232">
        <f t="shared" ref="T22:T37" si="31">F22/H22*I22</f>
        <v>0</v>
      </c>
      <c r="U22" s="240">
        <f t="shared" si="28"/>
        <v>38717.392608695656</v>
      </c>
      <c r="V22" s="241"/>
      <c r="W22" s="241"/>
      <c r="X22" s="241"/>
      <c r="Y22" s="233">
        <f t="shared" si="16"/>
        <v>56521.742608695655</v>
      </c>
      <c r="Z22" s="242">
        <f t="shared" si="29"/>
        <v>38717.392608695649</v>
      </c>
      <c r="AA22" s="242">
        <v>38700</v>
      </c>
      <c r="AB22" s="242"/>
      <c r="AC22" s="242">
        <f t="shared" si="30"/>
        <v>17.39260869564896</v>
      </c>
      <c r="AD22" s="222"/>
    </row>
    <row r="23" spans="1:30" ht="20.100000000000001" customHeight="1" outlineLevel="1">
      <c r="A23" s="214" t="s">
        <v>304</v>
      </c>
      <c r="B23" s="211" t="s">
        <v>207</v>
      </c>
      <c r="C23" s="236">
        <v>23630</v>
      </c>
      <c r="D23" s="236">
        <v>21370</v>
      </c>
      <c r="E23" s="225">
        <f t="shared" si="24"/>
        <v>45000</v>
      </c>
      <c r="F23" s="237">
        <v>30000</v>
      </c>
      <c r="G23" s="227">
        <f t="shared" si="25"/>
        <v>75000</v>
      </c>
      <c r="H23" s="225">
        <v>23</v>
      </c>
      <c r="I23" s="238">
        <v>23</v>
      </c>
      <c r="J23" s="239">
        <v>14768.75</v>
      </c>
      <c r="K23" s="239">
        <v>2953.75</v>
      </c>
      <c r="L23" s="239"/>
      <c r="M23" s="239"/>
      <c r="N23" s="240">
        <f t="shared" si="26"/>
        <v>17722.5</v>
      </c>
      <c r="O23" s="241">
        <v>1940</v>
      </c>
      <c r="P23" s="241">
        <v>2569.75</v>
      </c>
      <c r="Q23" s="240">
        <f t="shared" si="27"/>
        <v>13212.75</v>
      </c>
      <c r="R23" s="246">
        <f>[1]июнь24!AC77</f>
        <v>3.7370588235280593</v>
      </c>
      <c r="S23" s="240">
        <f>D23/H23*I23-K23-2153.61</f>
        <v>16262.64</v>
      </c>
      <c r="T23" s="232">
        <f t="shared" si="31"/>
        <v>30000</v>
      </c>
      <c r="U23" s="240">
        <f t="shared" si="15"/>
        <v>46262.64</v>
      </c>
      <c r="V23" s="241"/>
      <c r="W23" s="241"/>
      <c r="X23" s="241"/>
      <c r="Y23" s="233">
        <f t="shared" si="16"/>
        <v>63985.14</v>
      </c>
      <c r="Z23" s="242">
        <f t="shared" si="17"/>
        <v>46262.64</v>
      </c>
      <c r="AA23" s="242">
        <v>16200</v>
      </c>
      <c r="AB23" s="242"/>
      <c r="AC23" s="242">
        <f t="shared" si="18"/>
        <v>30066.377058823527</v>
      </c>
      <c r="AD23" s="222"/>
    </row>
    <row r="24" spans="1:30" ht="20.100000000000001" customHeight="1" outlineLevel="1">
      <c r="A24" s="214" t="s">
        <v>306</v>
      </c>
      <c r="B24" s="211" t="s">
        <v>308</v>
      </c>
      <c r="C24" s="236">
        <v>26250</v>
      </c>
      <c r="D24" s="236">
        <v>73750</v>
      </c>
      <c r="E24" s="225">
        <f t="shared" si="24"/>
        <v>100000</v>
      </c>
      <c r="F24" s="237">
        <v>0</v>
      </c>
      <c r="G24" s="227">
        <f t="shared" si="25"/>
        <v>100000</v>
      </c>
      <c r="H24" s="225">
        <v>23</v>
      </c>
      <c r="I24" s="238">
        <v>23</v>
      </c>
      <c r="J24" s="239">
        <v>26250</v>
      </c>
      <c r="K24" s="239">
        <v>5250</v>
      </c>
      <c r="L24" s="239"/>
      <c r="M24" s="239"/>
      <c r="N24" s="240">
        <f t="shared" si="26"/>
        <v>31500</v>
      </c>
      <c r="O24" s="241">
        <v>4095</v>
      </c>
      <c r="P24" s="241">
        <f>10922.35</f>
        <v>10922.35</v>
      </c>
      <c r="Q24" s="240">
        <f t="shared" si="27"/>
        <v>16482.650000000001</v>
      </c>
      <c r="R24" s="246">
        <f>[1]июнь24!AC78</f>
        <v>78.944210526315146</v>
      </c>
      <c r="S24" s="240">
        <f>D24/H24*I24-K24</f>
        <v>68500</v>
      </c>
      <c r="T24" s="232">
        <f t="shared" si="31"/>
        <v>0</v>
      </c>
      <c r="U24" s="240">
        <f t="shared" si="15"/>
        <v>68500</v>
      </c>
      <c r="V24" s="241"/>
      <c r="W24" s="241"/>
      <c r="X24" s="241"/>
      <c r="Y24" s="233">
        <f t="shared" si="16"/>
        <v>100000</v>
      </c>
      <c r="Z24" s="242">
        <f t="shared" si="17"/>
        <v>68500</v>
      </c>
      <c r="AA24" s="242">
        <v>68500</v>
      </c>
      <c r="AB24" s="242"/>
      <c r="AC24" s="242">
        <f t="shared" si="18"/>
        <v>78.944210526315146</v>
      </c>
      <c r="AD24" s="222"/>
    </row>
    <row r="25" spans="1:30" ht="20.100000000000001" customHeight="1" outlineLevel="1">
      <c r="A25" s="214" t="s">
        <v>309</v>
      </c>
      <c r="B25" s="211" t="s">
        <v>310</v>
      </c>
      <c r="C25" s="236">
        <v>26250</v>
      </c>
      <c r="D25" s="236">
        <v>123750</v>
      </c>
      <c r="E25" s="225">
        <f t="shared" si="24"/>
        <v>150000</v>
      </c>
      <c r="F25" s="237"/>
      <c r="G25" s="227">
        <f t="shared" si="25"/>
        <v>150000</v>
      </c>
      <c r="H25" s="225">
        <v>23</v>
      </c>
      <c r="I25" s="238">
        <v>23</v>
      </c>
      <c r="J25" s="239">
        <v>26250</v>
      </c>
      <c r="K25" s="239">
        <v>5250</v>
      </c>
      <c r="L25" s="239"/>
      <c r="M25" s="239"/>
      <c r="N25" s="240">
        <f t="shared" si="26"/>
        <v>31500</v>
      </c>
      <c r="O25" s="241">
        <v>4095</v>
      </c>
      <c r="P25" s="241">
        <v>10921.35</v>
      </c>
      <c r="Q25" s="240">
        <f t="shared" si="27"/>
        <v>16483.650000000001</v>
      </c>
      <c r="R25" s="246">
        <f>[1]июнь24!AC79</f>
        <v>63.162105263152625</v>
      </c>
      <c r="S25" s="240">
        <f>D25/H25*I25-K25</f>
        <v>118500</v>
      </c>
      <c r="T25" s="232">
        <f t="shared" si="31"/>
        <v>0</v>
      </c>
      <c r="U25" s="240">
        <f t="shared" si="15"/>
        <v>118500</v>
      </c>
      <c r="V25" s="241"/>
      <c r="W25" s="241"/>
      <c r="X25" s="241"/>
      <c r="Y25" s="233">
        <f t="shared" si="16"/>
        <v>150000</v>
      </c>
      <c r="Z25" s="242">
        <f t="shared" si="17"/>
        <v>118500</v>
      </c>
      <c r="AA25" s="242">
        <v>118500</v>
      </c>
      <c r="AB25" s="242"/>
      <c r="AC25" s="242">
        <f t="shared" si="18"/>
        <v>63.162105263152625</v>
      </c>
      <c r="AD25" s="222"/>
    </row>
    <row r="26" spans="1:30" ht="20.100000000000001" customHeight="1" outlineLevel="1">
      <c r="A26" s="214" t="s">
        <v>306</v>
      </c>
      <c r="B26" s="211" t="s">
        <v>311</v>
      </c>
      <c r="C26" s="236">
        <v>26250</v>
      </c>
      <c r="D26" s="236">
        <v>73750</v>
      </c>
      <c r="E26" s="225">
        <f t="shared" si="24"/>
        <v>100000</v>
      </c>
      <c r="F26" s="237">
        <v>0</v>
      </c>
      <c r="G26" s="227">
        <f t="shared" si="25"/>
        <v>100000</v>
      </c>
      <c r="H26" s="225">
        <v>23</v>
      </c>
      <c r="I26" s="238">
        <v>23</v>
      </c>
      <c r="J26" s="239">
        <v>26250</v>
      </c>
      <c r="K26" s="239">
        <v>5250</v>
      </c>
      <c r="L26" s="239"/>
      <c r="M26" s="239"/>
      <c r="N26" s="240">
        <f t="shared" si="26"/>
        <v>31500</v>
      </c>
      <c r="O26" s="241">
        <v>4095</v>
      </c>
      <c r="P26" s="241">
        <v>10922.35</v>
      </c>
      <c r="Q26" s="240">
        <f t="shared" si="27"/>
        <v>16482.650000000001</v>
      </c>
      <c r="R26" s="246">
        <f>[1]июнь24!AC80</f>
        <v>50</v>
      </c>
      <c r="S26" s="240">
        <f t="shared" ref="S26:S35" si="32">D26/H26*I26-K26</f>
        <v>68500</v>
      </c>
      <c r="T26" s="232">
        <f t="shared" si="31"/>
        <v>0</v>
      </c>
      <c r="U26" s="240">
        <f t="shared" si="15"/>
        <v>68500</v>
      </c>
      <c r="V26" s="241"/>
      <c r="W26" s="241"/>
      <c r="X26" s="241"/>
      <c r="Y26" s="233">
        <f t="shared" si="16"/>
        <v>100000</v>
      </c>
      <c r="Z26" s="242">
        <f t="shared" si="17"/>
        <v>68500</v>
      </c>
      <c r="AA26" s="242">
        <v>68500</v>
      </c>
      <c r="AB26" s="242"/>
      <c r="AC26" s="242">
        <f t="shared" si="18"/>
        <v>50</v>
      </c>
      <c r="AD26" s="222"/>
    </row>
    <row r="27" spans="1:30" ht="20.100000000000001" customHeight="1" outlineLevel="1">
      <c r="A27" s="214" t="s">
        <v>312</v>
      </c>
      <c r="B27" s="211" t="s">
        <v>313</v>
      </c>
      <c r="C27" s="236">
        <v>29400</v>
      </c>
      <c r="D27" s="236">
        <v>80600</v>
      </c>
      <c r="E27" s="225">
        <f t="shared" si="24"/>
        <v>110000</v>
      </c>
      <c r="F27" s="237">
        <v>90000</v>
      </c>
      <c r="G27" s="227">
        <f t="shared" si="25"/>
        <v>200000</v>
      </c>
      <c r="H27" s="225">
        <v>23</v>
      </c>
      <c r="I27" s="238">
        <v>22</v>
      </c>
      <c r="J27" s="239">
        <v>28121.74</v>
      </c>
      <c r="K27" s="239">
        <v>5624.35</v>
      </c>
      <c r="L27" s="239"/>
      <c r="M27" s="239"/>
      <c r="N27" s="240">
        <f t="shared" si="26"/>
        <v>33746.090000000004</v>
      </c>
      <c r="O27" s="241">
        <v>4387</v>
      </c>
      <c r="P27" s="241">
        <v>12232.87</v>
      </c>
      <c r="Q27" s="240">
        <f t="shared" si="27"/>
        <v>17126.22</v>
      </c>
      <c r="R27" s="246">
        <f>[1]июнь24!AC81</f>
        <v>27.790000000008149</v>
      </c>
      <c r="S27" s="240">
        <f>D27/H27*I27-K27</f>
        <v>71471.302173913034</v>
      </c>
      <c r="T27" s="232">
        <f t="shared" si="31"/>
        <v>86086.956521739135</v>
      </c>
      <c r="U27" s="240">
        <f t="shared" si="15"/>
        <v>157558.25869565218</v>
      </c>
      <c r="V27" s="241"/>
      <c r="W27" s="241"/>
      <c r="X27" s="241"/>
      <c r="Y27" s="233">
        <f t="shared" si="16"/>
        <v>191304.34869565218</v>
      </c>
      <c r="Z27" s="242">
        <f t="shared" si="17"/>
        <v>157558.25869565218</v>
      </c>
      <c r="AA27" s="242">
        <v>71400</v>
      </c>
      <c r="AB27" s="242"/>
      <c r="AC27" s="242">
        <f t="shared" si="18"/>
        <v>86186.048695652193</v>
      </c>
      <c r="AD27" s="222"/>
    </row>
    <row r="28" spans="1:30" ht="20.100000000000001" customHeight="1" outlineLevel="1">
      <c r="A28" s="214" t="s">
        <v>306</v>
      </c>
      <c r="B28" s="211" t="s">
        <v>314</v>
      </c>
      <c r="C28" s="236">
        <v>26250</v>
      </c>
      <c r="D28" s="236">
        <v>73750</v>
      </c>
      <c r="E28" s="225">
        <f t="shared" si="24"/>
        <v>100000</v>
      </c>
      <c r="F28" s="237">
        <v>0</v>
      </c>
      <c r="G28" s="227">
        <f>E28+F28</f>
        <v>100000</v>
      </c>
      <c r="H28" s="225">
        <v>23</v>
      </c>
      <c r="I28" s="238">
        <v>23</v>
      </c>
      <c r="J28" s="239">
        <v>26250</v>
      </c>
      <c r="K28" s="239">
        <v>5250</v>
      </c>
      <c r="L28" s="239"/>
      <c r="M28" s="239"/>
      <c r="N28" s="240">
        <f t="shared" si="26"/>
        <v>31500</v>
      </c>
      <c r="O28" s="241">
        <v>4095</v>
      </c>
      <c r="P28" s="241">
        <v>10922.35</v>
      </c>
      <c r="Q28" s="240">
        <f t="shared" si="27"/>
        <v>16482.650000000001</v>
      </c>
      <c r="R28" s="246">
        <f>[1]июнь24!AC82</f>
        <v>0</v>
      </c>
      <c r="S28" s="240">
        <f t="shared" si="32"/>
        <v>68500</v>
      </c>
      <c r="T28" s="232">
        <f t="shared" si="31"/>
        <v>0</v>
      </c>
      <c r="U28" s="240">
        <f t="shared" si="15"/>
        <v>68500</v>
      </c>
      <c r="V28" s="241"/>
      <c r="W28" s="241"/>
      <c r="X28" s="241"/>
      <c r="Y28" s="233">
        <f t="shared" si="16"/>
        <v>100000</v>
      </c>
      <c r="Z28" s="242">
        <f t="shared" si="17"/>
        <v>68500</v>
      </c>
      <c r="AA28" s="242">
        <v>68500</v>
      </c>
      <c r="AB28" s="242"/>
      <c r="AC28" s="242">
        <f t="shared" si="18"/>
        <v>0</v>
      </c>
      <c r="AD28" s="222"/>
    </row>
    <row r="29" spans="1:30" ht="20.100000000000001" customHeight="1" outlineLevel="1">
      <c r="A29" s="214" t="s">
        <v>315</v>
      </c>
      <c r="B29" s="211" t="s">
        <v>115</v>
      </c>
      <c r="C29" s="236">
        <v>26250</v>
      </c>
      <c r="D29" s="236">
        <v>73750</v>
      </c>
      <c r="E29" s="225">
        <f t="shared" si="24"/>
        <v>100000</v>
      </c>
      <c r="F29" s="237"/>
      <c r="G29" s="227">
        <f t="shared" ref="G29:G35" si="33">E29+F29</f>
        <v>100000</v>
      </c>
      <c r="H29" s="225">
        <v>23</v>
      </c>
      <c r="I29" s="238">
        <v>23</v>
      </c>
      <c r="J29" s="239">
        <v>17119.57</v>
      </c>
      <c r="K29" s="239">
        <v>3423.91</v>
      </c>
      <c r="L29" s="239">
        <v>14687.54</v>
      </c>
      <c r="M29" s="239"/>
      <c r="N29" s="240">
        <f t="shared" si="26"/>
        <v>35231.020000000004</v>
      </c>
      <c r="O29" s="241">
        <f>4580+7662.76</f>
        <v>12242.76</v>
      </c>
      <c r="P29" s="241">
        <f>8191.76+9583.9</f>
        <v>17775.66</v>
      </c>
      <c r="Q29" s="240">
        <f t="shared" si="27"/>
        <v>5212.6000000000022</v>
      </c>
      <c r="R29" s="246">
        <f>[1]июнь24!AC83</f>
        <v>42.645294117624871</v>
      </c>
      <c r="S29" s="240">
        <f>D29/H29*I29-K29-5557.11</f>
        <v>64768.979999999996</v>
      </c>
      <c r="T29" s="232">
        <f t="shared" si="31"/>
        <v>0</v>
      </c>
      <c r="U29" s="240">
        <f>T29+S29</f>
        <v>64768.979999999996</v>
      </c>
      <c r="V29" s="241"/>
      <c r="W29" s="241"/>
      <c r="X29" s="241"/>
      <c r="Y29" s="233">
        <f>N29+U29+V29+W29</f>
        <v>100000</v>
      </c>
      <c r="Z29" s="242">
        <f>Y29-O29-P29-Q29-X29</f>
        <v>64768.979999999996</v>
      </c>
      <c r="AA29" s="242">
        <v>64800</v>
      </c>
      <c r="AB29" s="242"/>
      <c r="AC29" s="242">
        <f t="shared" si="18"/>
        <v>11.625294117620797</v>
      </c>
      <c r="AD29" s="222"/>
    </row>
    <row r="30" spans="1:30" ht="20.100000000000001" customHeight="1" outlineLevel="1">
      <c r="A30" s="214" t="s">
        <v>306</v>
      </c>
      <c r="B30" s="211" t="s">
        <v>316</v>
      </c>
      <c r="C30" s="236">
        <v>26250</v>
      </c>
      <c r="D30" s="236">
        <v>73750</v>
      </c>
      <c r="E30" s="225">
        <f t="shared" si="24"/>
        <v>100000</v>
      </c>
      <c r="F30" s="237">
        <v>0</v>
      </c>
      <c r="G30" s="227">
        <f>E30+F30</f>
        <v>100000</v>
      </c>
      <c r="H30" s="225">
        <v>23</v>
      </c>
      <c r="I30" s="238">
        <v>21</v>
      </c>
      <c r="J30" s="239">
        <v>23967.39</v>
      </c>
      <c r="K30" s="239">
        <v>4793.4799999999996</v>
      </c>
      <c r="L30" s="239"/>
      <c r="M30" s="239"/>
      <c r="N30" s="240">
        <f t="shared" si="26"/>
        <v>28760.87</v>
      </c>
      <c r="O30" s="241">
        <v>3739</v>
      </c>
      <c r="P30" s="241">
        <v>8936.74</v>
      </c>
      <c r="Q30" s="240">
        <f t="shared" si="27"/>
        <v>16085.13</v>
      </c>
      <c r="R30" s="246">
        <v>0</v>
      </c>
      <c r="S30" s="240">
        <f>D30/H30*I30-K30-5557.11</f>
        <v>56986.366521739139</v>
      </c>
      <c r="T30" s="232">
        <f t="shared" si="31"/>
        <v>0</v>
      </c>
      <c r="U30" s="240">
        <f>T30+S30</f>
        <v>56986.366521739139</v>
      </c>
      <c r="V30" s="241"/>
      <c r="W30" s="241"/>
      <c r="X30" s="241"/>
      <c r="Y30" s="233">
        <f>N30+U30+V30+W30</f>
        <v>85747.236521739134</v>
      </c>
      <c r="Z30" s="242">
        <f>Y30-O30-P30-Q30-X30</f>
        <v>56986.366521739132</v>
      </c>
      <c r="AA30" s="242">
        <v>56900</v>
      </c>
      <c r="AB30" s="242"/>
      <c r="AC30" s="242">
        <f t="shared" si="18"/>
        <v>86.366521739131713</v>
      </c>
      <c r="AD30" s="222"/>
    </row>
    <row r="31" spans="1:30" ht="20.100000000000001" customHeight="1" outlineLevel="1">
      <c r="A31" s="214" t="s">
        <v>317</v>
      </c>
      <c r="B31" s="211" t="s">
        <v>318</v>
      </c>
      <c r="C31" s="236">
        <v>26250</v>
      </c>
      <c r="D31" s="236">
        <f>E31-C31</f>
        <v>23750</v>
      </c>
      <c r="E31" s="225">
        <v>50000</v>
      </c>
      <c r="F31" s="237">
        <v>40000</v>
      </c>
      <c r="G31" s="227">
        <f t="shared" si="33"/>
        <v>90000</v>
      </c>
      <c r="H31" s="225">
        <v>23</v>
      </c>
      <c r="I31" s="238">
        <v>23</v>
      </c>
      <c r="J31" s="239">
        <v>26250</v>
      </c>
      <c r="K31" s="239">
        <v>5250</v>
      </c>
      <c r="L31" s="239"/>
      <c r="M31" s="239"/>
      <c r="N31" s="240">
        <f t="shared" si="26"/>
        <v>31500</v>
      </c>
      <c r="O31" s="241">
        <v>4095</v>
      </c>
      <c r="P31" s="241">
        <v>10922.35</v>
      </c>
      <c r="Q31" s="240">
        <f t="shared" si="27"/>
        <v>16482.650000000001</v>
      </c>
      <c r="R31" s="246">
        <f>[1]июнь24!AC84</f>
        <v>2.9800000000032014</v>
      </c>
      <c r="S31" s="240">
        <f>D31/H31*I31-K31</f>
        <v>18500</v>
      </c>
      <c r="T31" s="232">
        <f t="shared" si="31"/>
        <v>40000</v>
      </c>
      <c r="U31" s="240">
        <f t="shared" si="15"/>
        <v>58500</v>
      </c>
      <c r="V31" s="241"/>
      <c r="W31" s="241"/>
      <c r="X31" s="241"/>
      <c r="Y31" s="233">
        <f t="shared" si="16"/>
        <v>90000</v>
      </c>
      <c r="Z31" s="242">
        <f t="shared" si="17"/>
        <v>58499.999999999993</v>
      </c>
      <c r="AA31" s="242">
        <v>18500</v>
      </c>
      <c r="AB31" s="242"/>
      <c r="AC31" s="242">
        <f t="shared" si="18"/>
        <v>40002.979999999996</v>
      </c>
      <c r="AD31" s="222"/>
    </row>
    <row r="32" spans="1:30" ht="20.100000000000001" customHeight="1" outlineLevel="1">
      <c r="A32" s="214" t="s">
        <v>306</v>
      </c>
      <c r="B32" s="211" t="s">
        <v>319</v>
      </c>
      <c r="C32" s="236">
        <v>26250</v>
      </c>
      <c r="D32" s="236">
        <v>73750</v>
      </c>
      <c r="E32" s="225">
        <f t="shared" ref="E32" si="34">C32+D32</f>
        <v>100000</v>
      </c>
      <c r="F32" s="237">
        <v>0</v>
      </c>
      <c r="G32" s="227">
        <f>E32+F32</f>
        <v>100000</v>
      </c>
      <c r="H32" s="225">
        <v>23</v>
      </c>
      <c r="I32" s="238">
        <v>23</v>
      </c>
      <c r="J32" s="239">
        <v>26250</v>
      </c>
      <c r="K32" s="239">
        <v>5250</v>
      </c>
      <c r="L32" s="239"/>
      <c r="M32" s="239"/>
      <c r="N32" s="240">
        <f t="shared" si="26"/>
        <v>31500</v>
      </c>
      <c r="O32" s="241">
        <v>4095</v>
      </c>
      <c r="P32" s="241">
        <v>10922.35</v>
      </c>
      <c r="Q32" s="240">
        <f t="shared" si="27"/>
        <v>16482.650000000001</v>
      </c>
      <c r="R32" s="246">
        <v>0</v>
      </c>
      <c r="S32" s="240">
        <f>D32/H32*I32-K32</f>
        <v>68500</v>
      </c>
      <c r="T32" s="232">
        <f t="shared" si="31"/>
        <v>0</v>
      </c>
      <c r="U32" s="240">
        <f t="shared" si="15"/>
        <v>68500</v>
      </c>
      <c r="V32" s="241"/>
      <c r="W32" s="241"/>
      <c r="X32" s="241"/>
      <c r="Y32" s="233">
        <f t="shared" si="16"/>
        <v>100000</v>
      </c>
      <c r="Z32" s="242">
        <f t="shared" si="17"/>
        <v>68500</v>
      </c>
      <c r="AA32" s="242">
        <v>68500</v>
      </c>
      <c r="AB32" s="242"/>
      <c r="AC32" s="242">
        <f t="shared" si="18"/>
        <v>0</v>
      </c>
      <c r="AD32" s="222"/>
    </row>
    <row r="33" spans="1:30" ht="20.100000000000001" customHeight="1" outlineLevel="1">
      <c r="A33" s="214" t="s">
        <v>304</v>
      </c>
      <c r="B33" s="211" t="s">
        <v>320</v>
      </c>
      <c r="C33" s="236">
        <v>23630</v>
      </c>
      <c r="D33" s="236">
        <v>21370</v>
      </c>
      <c r="E33" s="225">
        <f>C33+D33</f>
        <v>45000</v>
      </c>
      <c r="F33" s="237">
        <v>30000</v>
      </c>
      <c r="G33" s="227">
        <f>E33+F33</f>
        <v>75000</v>
      </c>
      <c r="H33" s="225">
        <v>23</v>
      </c>
      <c r="I33" s="238">
        <v>22</v>
      </c>
      <c r="J33" s="239">
        <v>22602.61</v>
      </c>
      <c r="K33" s="239">
        <v>4520.5200000000004</v>
      </c>
      <c r="L33" s="239"/>
      <c r="M33" s="239"/>
      <c r="N33" s="240">
        <f t="shared" si="26"/>
        <v>27123.13</v>
      </c>
      <c r="O33" s="241">
        <v>3526</v>
      </c>
      <c r="P33" s="241">
        <v>9832.2999999999993</v>
      </c>
      <c r="Q33" s="240">
        <f t="shared" si="27"/>
        <v>13764.830000000002</v>
      </c>
      <c r="R33" s="246">
        <f>[1]июнь24!AC85</f>
        <v>87.255789473681943</v>
      </c>
      <c r="S33" s="240">
        <f t="shared" si="32"/>
        <v>15920.349565217392</v>
      </c>
      <c r="T33" s="232">
        <f t="shared" si="31"/>
        <v>28695.652173913044</v>
      </c>
      <c r="U33" s="240">
        <f t="shared" si="15"/>
        <v>44616.001739130435</v>
      </c>
      <c r="V33" s="241"/>
      <c r="W33" s="241"/>
      <c r="X33" s="241"/>
      <c r="Y33" s="233">
        <f t="shared" si="16"/>
        <v>71739.131739130433</v>
      </c>
      <c r="Z33" s="242">
        <f t="shared" si="17"/>
        <v>44616.001739130428</v>
      </c>
      <c r="AA33" s="242">
        <v>15900</v>
      </c>
      <c r="AB33" s="242"/>
      <c r="AC33" s="242">
        <f t="shared" si="18"/>
        <v>28803.25752860411</v>
      </c>
      <c r="AD33" s="222"/>
    </row>
    <row r="34" spans="1:30" ht="20.100000000000001" customHeight="1" outlineLevel="1">
      <c r="A34" s="214" t="s">
        <v>304</v>
      </c>
      <c r="B34" s="211" t="s">
        <v>321</v>
      </c>
      <c r="C34" s="236">
        <v>23630</v>
      </c>
      <c r="D34" s="236">
        <v>21370</v>
      </c>
      <c r="E34" s="225">
        <f>C34+D34</f>
        <v>45000</v>
      </c>
      <c r="F34" s="237">
        <v>30000</v>
      </c>
      <c r="G34" s="227">
        <f>E34+F34</f>
        <v>75000</v>
      </c>
      <c r="H34" s="225">
        <v>23</v>
      </c>
      <c r="I34" s="238">
        <v>23</v>
      </c>
      <c r="J34" s="239">
        <v>23630</v>
      </c>
      <c r="K34" s="239">
        <v>4726</v>
      </c>
      <c r="L34" s="239"/>
      <c r="M34" s="239"/>
      <c r="N34" s="240">
        <f t="shared" si="26"/>
        <v>28356</v>
      </c>
      <c r="O34" s="241">
        <v>678</v>
      </c>
      <c r="P34" s="241">
        <v>10851.3</v>
      </c>
      <c r="Q34" s="240">
        <f t="shared" si="27"/>
        <v>16826.7</v>
      </c>
      <c r="R34" s="246">
        <f>[1]июнь24!AC86</f>
        <v>74.741052631577986</v>
      </c>
      <c r="S34" s="240">
        <f t="shared" si="32"/>
        <v>16644</v>
      </c>
      <c r="T34" s="232">
        <f t="shared" si="31"/>
        <v>30000</v>
      </c>
      <c r="U34" s="240">
        <f t="shared" si="15"/>
        <v>46644</v>
      </c>
      <c r="V34" s="241"/>
      <c r="W34" s="241"/>
      <c r="X34" s="241"/>
      <c r="Y34" s="233">
        <f t="shared" si="16"/>
        <v>75000</v>
      </c>
      <c r="Z34" s="242">
        <f t="shared" si="17"/>
        <v>46644</v>
      </c>
      <c r="AA34" s="242">
        <v>16700</v>
      </c>
      <c r="AB34" s="242"/>
      <c r="AC34" s="242">
        <f t="shared" si="18"/>
        <v>30018.74105263158</v>
      </c>
      <c r="AD34" s="222"/>
    </row>
    <row r="35" spans="1:30" ht="20.100000000000001" customHeight="1" outlineLevel="1">
      <c r="A35" s="214" t="s">
        <v>322</v>
      </c>
      <c r="B35" s="211" t="s">
        <v>116</v>
      </c>
      <c r="C35" s="236">
        <v>26250</v>
      </c>
      <c r="D35" s="236">
        <f>E35-C35</f>
        <v>13750</v>
      </c>
      <c r="E35" s="225">
        <v>40000</v>
      </c>
      <c r="F35" s="237">
        <v>40000</v>
      </c>
      <c r="G35" s="227">
        <f t="shared" si="33"/>
        <v>80000</v>
      </c>
      <c r="H35" s="225">
        <v>23</v>
      </c>
      <c r="I35" s="238">
        <v>1</v>
      </c>
      <c r="J35" s="239">
        <v>1141.3</v>
      </c>
      <c r="K35" s="239"/>
      <c r="L35" s="239">
        <v>11598.93</v>
      </c>
      <c r="M35" s="239"/>
      <c r="N35" s="240">
        <f t="shared" si="26"/>
        <v>12740.23</v>
      </c>
      <c r="O35" s="241">
        <v>1657</v>
      </c>
      <c r="P35" s="241">
        <v>11083.23</v>
      </c>
      <c r="Q35" s="240">
        <f t="shared" si="27"/>
        <v>0</v>
      </c>
      <c r="R35" s="246">
        <f>[1]июнь24!AC87</f>
        <v>30.169999999998254</v>
      </c>
      <c r="S35" s="240">
        <f t="shared" si="32"/>
        <v>597.82608695652175</v>
      </c>
      <c r="T35" s="232">
        <f t="shared" si="31"/>
        <v>1739.1304347826087</v>
      </c>
      <c r="U35" s="240">
        <f t="shared" si="15"/>
        <v>2336.9565217391305</v>
      </c>
      <c r="V35" s="241"/>
      <c r="W35" s="241"/>
      <c r="X35" s="241"/>
      <c r="Y35" s="233">
        <f t="shared" si="16"/>
        <v>15077.18652173913</v>
      </c>
      <c r="Z35" s="242">
        <f t="shared" si="17"/>
        <v>2336.95652173913</v>
      </c>
      <c r="AA35" s="242">
        <v>2300</v>
      </c>
      <c r="AB35" s="242"/>
      <c r="AC35" s="242">
        <f t="shared" si="18"/>
        <v>67.126521739128293</v>
      </c>
      <c r="AD35" s="222"/>
    </row>
    <row r="36" spans="1:30" ht="20.100000000000001" customHeight="1" outlineLevel="1">
      <c r="A36" s="214" t="s">
        <v>323</v>
      </c>
      <c r="B36" s="211" t="s">
        <v>156</v>
      </c>
      <c r="C36" s="236">
        <v>21890</v>
      </c>
      <c r="D36" s="236">
        <v>13110</v>
      </c>
      <c r="E36" s="225">
        <f>C36+D36</f>
        <v>35000</v>
      </c>
      <c r="F36" s="237">
        <v>40000</v>
      </c>
      <c r="G36" s="227">
        <f>E36+F36</f>
        <v>75000</v>
      </c>
      <c r="H36" s="225">
        <v>23</v>
      </c>
      <c r="I36" s="238">
        <v>23</v>
      </c>
      <c r="J36" s="239">
        <v>12372.61</v>
      </c>
      <c r="K36" s="239">
        <v>2474.52</v>
      </c>
      <c r="L36" s="239">
        <v>12440.54</v>
      </c>
      <c r="M36" s="239"/>
      <c r="N36" s="240">
        <f t="shared" si="26"/>
        <v>27287.670000000002</v>
      </c>
      <c r="O36" s="241">
        <v>3366</v>
      </c>
      <c r="P36" s="241">
        <f>9108.13+10822.54</f>
        <v>19930.669999999998</v>
      </c>
      <c r="Q36" s="240">
        <f t="shared" si="27"/>
        <v>3991.0000000000036</v>
      </c>
      <c r="R36" s="246">
        <f>[1]июнь24!AC88</f>
        <v>71.109999999993306</v>
      </c>
      <c r="S36" s="240">
        <f>D36/H36*I36-K36-2923.15</f>
        <v>7712.33</v>
      </c>
      <c r="T36" s="232">
        <f t="shared" si="31"/>
        <v>40000</v>
      </c>
      <c r="U36" s="240">
        <f>T36+S36</f>
        <v>47712.33</v>
      </c>
      <c r="V36" s="241"/>
      <c r="W36" s="241"/>
      <c r="X36" s="241"/>
      <c r="Y36" s="233">
        <f>N36+U36+V36+W36</f>
        <v>75000</v>
      </c>
      <c r="Z36" s="242">
        <f>Y36-O36-P36-Q36-X36</f>
        <v>47712.33</v>
      </c>
      <c r="AA36" s="242">
        <v>7700</v>
      </c>
      <c r="AB36" s="242"/>
      <c r="AC36" s="242">
        <f t="shared" si="18"/>
        <v>40083.439999999995</v>
      </c>
      <c r="AD36" s="222"/>
    </row>
    <row r="37" spans="1:30" ht="20.100000000000001" customHeight="1" outlineLevel="1">
      <c r="A37" s="214" t="s">
        <v>323</v>
      </c>
      <c r="B37" s="211" t="s">
        <v>208</v>
      </c>
      <c r="C37" s="236">
        <v>21890</v>
      </c>
      <c r="D37" s="236">
        <v>13110</v>
      </c>
      <c r="E37" s="225">
        <f>C37+D37</f>
        <v>35000</v>
      </c>
      <c r="F37" s="237">
        <v>40000</v>
      </c>
      <c r="G37" s="227">
        <f>E37+F37</f>
        <v>75000</v>
      </c>
      <c r="H37" s="225">
        <v>23</v>
      </c>
      <c r="I37" s="238">
        <v>23</v>
      </c>
      <c r="J37" s="239">
        <v>21890</v>
      </c>
      <c r="K37" s="239">
        <v>4378</v>
      </c>
      <c r="L37" s="239"/>
      <c r="M37" s="239"/>
      <c r="N37" s="240">
        <f t="shared" si="26"/>
        <v>26268</v>
      </c>
      <c r="O37" s="241">
        <v>3051</v>
      </c>
      <c r="P37" s="241">
        <v>9108.1299999999992</v>
      </c>
      <c r="Q37" s="240">
        <f t="shared" si="27"/>
        <v>14108.87</v>
      </c>
      <c r="R37" s="246">
        <f>[1]июнь24!AC89</f>
        <v>-10</v>
      </c>
      <c r="S37" s="240">
        <f>D37/H37*I37-K37</f>
        <v>8732</v>
      </c>
      <c r="T37" s="232">
        <f t="shared" si="31"/>
        <v>40000</v>
      </c>
      <c r="U37" s="240">
        <f t="shared" si="15"/>
        <v>48732</v>
      </c>
      <c r="V37" s="241"/>
      <c r="W37" s="241"/>
      <c r="X37" s="241"/>
      <c r="Y37" s="233">
        <f t="shared" si="16"/>
        <v>75000</v>
      </c>
      <c r="Z37" s="242">
        <f t="shared" si="17"/>
        <v>48732</v>
      </c>
      <c r="AA37" s="242">
        <v>8700</v>
      </c>
      <c r="AB37" s="242"/>
      <c r="AC37" s="242">
        <f t="shared" si="18"/>
        <v>40022</v>
      </c>
      <c r="AD37" s="222"/>
    </row>
    <row r="38" spans="1:30" ht="20.100000000000001" customHeight="1" outlineLevel="1">
      <c r="A38" s="252"/>
      <c r="B38" s="253" t="s">
        <v>324</v>
      </c>
      <c r="C38" s="244">
        <f>SUM(C39:C46)</f>
        <v>153744</v>
      </c>
      <c r="D38" s="244">
        <f t="shared" ref="D38:AC38" si="35">SUM(D39:D46)</f>
        <v>120006</v>
      </c>
      <c r="E38" s="244">
        <f t="shared" si="35"/>
        <v>273750</v>
      </c>
      <c r="F38" s="244">
        <f t="shared" si="35"/>
        <v>125000</v>
      </c>
      <c r="G38" s="244">
        <f t="shared" si="35"/>
        <v>398750</v>
      </c>
      <c r="H38" s="244">
        <f t="shared" si="35"/>
        <v>184</v>
      </c>
      <c r="I38" s="244">
        <f t="shared" si="35"/>
        <v>161</v>
      </c>
      <c r="J38" s="244">
        <f t="shared" si="35"/>
        <v>103493.6</v>
      </c>
      <c r="K38" s="244">
        <f t="shared" si="35"/>
        <v>20368.420000000002</v>
      </c>
      <c r="L38" s="244">
        <f t="shared" si="35"/>
        <v>32000.850000000002</v>
      </c>
      <c r="M38" s="244">
        <f t="shared" si="35"/>
        <v>0</v>
      </c>
      <c r="N38" s="244">
        <f t="shared" si="35"/>
        <v>155862.87</v>
      </c>
      <c r="O38" s="244">
        <f t="shared" si="35"/>
        <v>19327</v>
      </c>
      <c r="P38" s="244">
        <f t="shared" si="35"/>
        <v>65313.45</v>
      </c>
      <c r="Q38" s="244">
        <f t="shared" si="35"/>
        <v>71222.42</v>
      </c>
      <c r="R38" s="244">
        <f t="shared" si="35"/>
        <v>421.54529411767362</v>
      </c>
      <c r="S38" s="244">
        <f t="shared" si="35"/>
        <v>80664.91</v>
      </c>
      <c r="T38" s="244">
        <f t="shared" si="35"/>
        <v>125000</v>
      </c>
      <c r="U38" s="244">
        <f t="shared" si="35"/>
        <v>205664.90999999997</v>
      </c>
      <c r="V38" s="244">
        <f t="shared" si="35"/>
        <v>0</v>
      </c>
      <c r="W38" s="244">
        <f t="shared" si="35"/>
        <v>0</v>
      </c>
      <c r="X38" s="244">
        <f t="shared" si="35"/>
        <v>0</v>
      </c>
      <c r="Y38" s="244">
        <f t="shared" si="35"/>
        <v>361527.78</v>
      </c>
      <c r="Z38" s="244">
        <f t="shared" si="35"/>
        <v>205664.91000000003</v>
      </c>
      <c r="AA38" s="244">
        <f>SUM(AA39:AA46)</f>
        <v>80800</v>
      </c>
      <c r="AB38" s="244">
        <f t="shared" si="35"/>
        <v>0</v>
      </c>
      <c r="AC38" s="244">
        <f t="shared" si="35"/>
        <v>125286.4552941177</v>
      </c>
      <c r="AD38" s="222"/>
    </row>
    <row r="39" spans="1:30" ht="20.100000000000001" customHeight="1" outlineLevel="1">
      <c r="A39" s="214" t="s">
        <v>325</v>
      </c>
      <c r="B39" s="211" t="s">
        <v>326</v>
      </c>
      <c r="C39" s="236">
        <v>21890</v>
      </c>
      <c r="D39" s="236">
        <f>E39-C39</f>
        <v>18110</v>
      </c>
      <c r="E39" s="225">
        <v>40000</v>
      </c>
      <c r="F39" s="237">
        <v>10000</v>
      </c>
      <c r="G39" s="227">
        <f t="shared" ref="G39" si="36">E39+F39</f>
        <v>50000</v>
      </c>
      <c r="H39" s="225">
        <v>23</v>
      </c>
      <c r="I39" s="238">
        <v>23</v>
      </c>
      <c r="J39" s="239">
        <v>9517.39</v>
      </c>
      <c r="K39" s="239">
        <v>1903.48</v>
      </c>
      <c r="L39" s="239">
        <v>19101.810000000001</v>
      </c>
      <c r="M39" s="239"/>
      <c r="N39" s="240">
        <f t="shared" ref="N39:N46" si="37">J39+K39+L39+M39</f>
        <v>30522.68</v>
      </c>
      <c r="O39" s="241">
        <v>3968</v>
      </c>
      <c r="P39" s="241">
        <f>8280.39+16618.81</f>
        <v>24899.200000000001</v>
      </c>
      <c r="Q39" s="240">
        <f t="shared" ref="Q39:Q46" si="38">N39-O39-P39</f>
        <v>1655.4799999999996</v>
      </c>
      <c r="R39" s="246">
        <f>[1]июнь24!AC91</f>
        <v>36.150000000012369</v>
      </c>
      <c r="S39" s="240">
        <f>D39/H39*I39-K39-6729.2</f>
        <v>9477.32</v>
      </c>
      <c r="T39" s="232">
        <f>F39/H39*I39</f>
        <v>10000</v>
      </c>
      <c r="U39" s="240">
        <f t="shared" ref="U39:U46" si="39">T39+S39</f>
        <v>19477.32</v>
      </c>
      <c r="V39" s="241"/>
      <c r="W39" s="241"/>
      <c r="X39" s="241"/>
      <c r="Y39" s="233">
        <f t="shared" ref="Y39:Y46" si="40">N39+U39+V39+W39</f>
        <v>50000</v>
      </c>
      <c r="Z39" s="242">
        <f t="shared" ref="Z39:Z46" si="41">Y39-O39-P39-Q39-X39</f>
        <v>19477.32</v>
      </c>
      <c r="AA39" s="242">
        <v>9500</v>
      </c>
      <c r="AB39" s="242"/>
      <c r="AC39" s="242">
        <f t="shared" ref="AC39:AC48" si="42">R39+Z39-AA39-AB39</f>
        <v>10013.470000000012</v>
      </c>
      <c r="AD39" s="222"/>
    </row>
    <row r="40" spans="1:30" ht="20.100000000000001" customHeight="1" outlineLevel="1">
      <c r="A40" s="214"/>
      <c r="B40" s="211" t="s">
        <v>327</v>
      </c>
      <c r="C40" s="236"/>
      <c r="D40" s="236"/>
      <c r="E40" s="225"/>
      <c r="F40" s="237"/>
      <c r="G40" s="227"/>
      <c r="H40" s="225">
        <v>23</v>
      </c>
      <c r="I40" s="238"/>
      <c r="J40" s="239"/>
      <c r="K40" s="239"/>
      <c r="L40" s="239"/>
      <c r="M40" s="239"/>
      <c r="N40" s="240">
        <f t="shared" si="37"/>
        <v>0</v>
      </c>
      <c r="O40" s="241"/>
      <c r="P40" s="241"/>
      <c r="Q40" s="240">
        <f t="shared" si="38"/>
        <v>0</v>
      </c>
      <c r="R40" s="246">
        <f>[1]июнь24!AC92</f>
        <v>0</v>
      </c>
      <c r="S40" s="240">
        <f t="shared" ref="S40:S45" si="43">D40/H40*I40-K40</f>
        <v>0</v>
      </c>
      <c r="T40" s="232"/>
      <c r="U40" s="240">
        <f t="shared" si="39"/>
        <v>0</v>
      </c>
      <c r="V40" s="241"/>
      <c r="W40" s="241"/>
      <c r="X40" s="241"/>
      <c r="Y40" s="233">
        <f t="shared" si="40"/>
        <v>0</v>
      </c>
      <c r="Z40" s="242">
        <f t="shared" si="41"/>
        <v>0</v>
      </c>
      <c r="AA40" s="242">
        <v>0</v>
      </c>
      <c r="AB40" s="242"/>
      <c r="AC40" s="242">
        <f t="shared" si="42"/>
        <v>0</v>
      </c>
      <c r="AD40" s="222"/>
    </row>
    <row r="41" spans="1:30" s="243" customFormat="1" ht="20.100000000000001" customHeight="1" outlineLevel="1">
      <c r="A41" s="214" t="s">
        <v>325</v>
      </c>
      <c r="B41" s="211" t="s">
        <v>328</v>
      </c>
      <c r="C41" s="236">
        <v>21890</v>
      </c>
      <c r="D41" s="236">
        <f>E41-C41</f>
        <v>21860</v>
      </c>
      <c r="E41" s="225">
        <f>40000+3750</f>
        <v>43750</v>
      </c>
      <c r="F41" s="237">
        <v>10000</v>
      </c>
      <c r="G41" s="227">
        <f t="shared" ref="G41:G46" si="44">E41+F41</f>
        <v>53750</v>
      </c>
      <c r="H41" s="225">
        <v>23</v>
      </c>
      <c r="I41" s="238">
        <v>23</v>
      </c>
      <c r="J41" s="239">
        <v>12372.61</v>
      </c>
      <c r="K41" s="239">
        <v>2474.52</v>
      </c>
      <c r="L41" s="239"/>
      <c r="M41" s="239"/>
      <c r="N41" s="240">
        <f t="shared" si="37"/>
        <v>14847.130000000001</v>
      </c>
      <c r="O41" s="241">
        <v>1930</v>
      </c>
      <c r="P41" s="241">
        <v>827.74</v>
      </c>
      <c r="Q41" s="240">
        <f t="shared" si="38"/>
        <v>12089.390000000001</v>
      </c>
      <c r="R41" s="246">
        <f>[1]июнь24!AC93</f>
        <v>92.003529411758791</v>
      </c>
      <c r="S41" s="240">
        <f>D41/H41*I41-K41-3389.07</f>
        <v>15996.41</v>
      </c>
      <c r="T41" s="232">
        <f t="shared" ref="T41:T46" si="45">F41/H41*I41</f>
        <v>10000</v>
      </c>
      <c r="U41" s="240">
        <f t="shared" si="39"/>
        <v>25996.41</v>
      </c>
      <c r="V41" s="241"/>
      <c r="W41" s="241"/>
      <c r="X41" s="241"/>
      <c r="Y41" s="233">
        <f>N41+U41+V41+W41</f>
        <v>40843.54</v>
      </c>
      <c r="Z41" s="242">
        <f t="shared" si="41"/>
        <v>25996.410000000003</v>
      </c>
      <c r="AA41" s="242">
        <v>16000</v>
      </c>
      <c r="AB41" s="242"/>
      <c r="AC41" s="242">
        <f t="shared" si="42"/>
        <v>10088.413529411762</v>
      </c>
      <c r="AD41" s="222"/>
    </row>
    <row r="42" spans="1:30" ht="20.100000000000001" customHeight="1" outlineLevel="1">
      <c r="A42" s="214" t="s">
        <v>329</v>
      </c>
      <c r="B42" s="211" t="s">
        <v>330</v>
      </c>
      <c r="C42" s="236">
        <v>22402</v>
      </c>
      <c r="D42" s="236">
        <f t="shared" ref="D42:D46" si="46">E42-C42</f>
        <v>7598</v>
      </c>
      <c r="E42" s="225">
        <v>30000</v>
      </c>
      <c r="F42" s="237">
        <v>60000</v>
      </c>
      <c r="G42" s="227">
        <f t="shared" si="44"/>
        <v>90000</v>
      </c>
      <c r="H42" s="225">
        <v>23</v>
      </c>
      <c r="I42" s="238">
        <v>23</v>
      </c>
      <c r="J42" s="239">
        <f>11010.43+1651.56</f>
        <v>12661.99</v>
      </c>
      <c r="K42" s="239">
        <v>2202.09</v>
      </c>
      <c r="L42" s="239"/>
      <c r="M42" s="239"/>
      <c r="N42" s="240">
        <f t="shared" si="37"/>
        <v>14864.08</v>
      </c>
      <c r="O42" s="241">
        <v>1361</v>
      </c>
      <c r="P42" s="241">
        <v>847</v>
      </c>
      <c r="Q42" s="240">
        <f t="shared" si="38"/>
        <v>12656.08</v>
      </c>
      <c r="R42" s="246">
        <f>[1]июнь24!AC94</f>
        <v>93.040000000000873</v>
      </c>
      <c r="S42" s="240">
        <f>D42/H42*I42-K42-2714.25</f>
        <v>2681.66</v>
      </c>
      <c r="T42" s="232">
        <f t="shared" si="45"/>
        <v>60000</v>
      </c>
      <c r="U42" s="240">
        <f t="shared" si="39"/>
        <v>62681.66</v>
      </c>
      <c r="V42" s="241"/>
      <c r="W42" s="241"/>
      <c r="X42" s="241"/>
      <c r="Y42" s="233">
        <f t="shared" ref="Y42:Y43" si="47">N42+U42+V42+W42</f>
        <v>77545.740000000005</v>
      </c>
      <c r="Z42" s="242">
        <f t="shared" si="41"/>
        <v>62681.66</v>
      </c>
      <c r="AA42" s="242">
        <v>2700</v>
      </c>
      <c r="AB42" s="242"/>
      <c r="AC42" s="242">
        <f t="shared" si="42"/>
        <v>60074.700000000004</v>
      </c>
      <c r="AD42" s="222"/>
    </row>
    <row r="43" spans="1:30" ht="20.100000000000001" customHeight="1" outlineLevel="1">
      <c r="A43" s="214" t="s">
        <v>325</v>
      </c>
      <c r="B43" s="211" t="s">
        <v>331</v>
      </c>
      <c r="C43" s="236">
        <v>21890</v>
      </c>
      <c r="D43" s="236">
        <f t="shared" si="46"/>
        <v>18110</v>
      </c>
      <c r="E43" s="225">
        <v>40000</v>
      </c>
      <c r="F43" s="237">
        <v>10000</v>
      </c>
      <c r="G43" s="227">
        <f t="shared" si="44"/>
        <v>50000</v>
      </c>
      <c r="H43" s="225">
        <v>23</v>
      </c>
      <c r="I43" s="238">
        <v>23</v>
      </c>
      <c r="J43" s="239">
        <v>11753.98</v>
      </c>
      <c r="K43" s="239">
        <v>2350.8000000000002</v>
      </c>
      <c r="L43" s="239"/>
      <c r="M43" s="239"/>
      <c r="N43" s="240">
        <f t="shared" si="37"/>
        <v>14104.779999999999</v>
      </c>
      <c r="O43" s="241">
        <v>1470</v>
      </c>
      <c r="P43" s="241">
        <v>1190.1300000000001</v>
      </c>
      <c r="Q43" s="240">
        <f t="shared" si="38"/>
        <v>11444.649999999998</v>
      </c>
      <c r="R43" s="246">
        <f>[1]июнь24!AC95</f>
        <v>23.86000000000422</v>
      </c>
      <c r="S43" s="240">
        <f>D43/H43*I43-K43-1725.48</f>
        <v>14033.720000000001</v>
      </c>
      <c r="T43" s="232">
        <f t="shared" si="45"/>
        <v>10000</v>
      </c>
      <c r="U43" s="240">
        <f t="shared" si="39"/>
        <v>24033.72</v>
      </c>
      <c r="V43" s="241"/>
      <c r="W43" s="241"/>
      <c r="X43" s="241"/>
      <c r="Y43" s="233">
        <f t="shared" si="47"/>
        <v>38138.5</v>
      </c>
      <c r="Z43" s="242">
        <f t="shared" si="41"/>
        <v>24033.720000000005</v>
      </c>
      <c r="AA43" s="242">
        <v>14000</v>
      </c>
      <c r="AB43" s="242"/>
      <c r="AC43" s="242">
        <f t="shared" si="42"/>
        <v>10057.580000000009</v>
      </c>
      <c r="AD43" s="222"/>
    </row>
    <row r="44" spans="1:30" ht="20.100000000000001" customHeight="1" outlineLevel="1">
      <c r="A44" s="214" t="s">
        <v>325</v>
      </c>
      <c r="B44" s="211" t="s">
        <v>332</v>
      </c>
      <c r="C44" s="236">
        <v>21891</v>
      </c>
      <c r="D44" s="236">
        <f t="shared" si="46"/>
        <v>18109</v>
      </c>
      <c r="E44" s="225">
        <v>40000</v>
      </c>
      <c r="F44" s="237">
        <v>10000</v>
      </c>
      <c r="G44" s="227">
        <f t="shared" si="44"/>
        <v>50000</v>
      </c>
      <c r="H44" s="225">
        <v>23</v>
      </c>
      <c r="I44" s="238">
        <v>23</v>
      </c>
      <c r="J44" s="239">
        <v>17512</v>
      </c>
      <c r="K44" s="239">
        <v>3502.4</v>
      </c>
      <c r="L44" s="239">
        <v>6456.24</v>
      </c>
      <c r="M44" s="239"/>
      <c r="N44" s="240">
        <f t="shared" si="37"/>
        <v>27470.639999999999</v>
      </c>
      <c r="O44" s="241">
        <v>3571</v>
      </c>
      <c r="P44" s="241">
        <f>8887.33+5617.24</f>
        <v>14504.57</v>
      </c>
      <c r="Q44" s="240">
        <f t="shared" si="38"/>
        <v>9395.07</v>
      </c>
      <c r="R44" s="246">
        <f>[1]июнь24!AC96</f>
        <v>81.068823529421934</v>
      </c>
      <c r="S44" s="240">
        <f>D44/H44*I44-K44-2077.24</f>
        <v>12529.36</v>
      </c>
      <c r="T44" s="232">
        <f t="shared" si="45"/>
        <v>10000</v>
      </c>
      <c r="U44" s="240">
        <f t="shared" si="39"/>
        <v>22529.360000000001</v>
      </c>
      <c r="V44" s="241"/>
      <c r="W44" s="241"/>
      <c r="X44" s="241"/>
      <c r="Y44" s="233">
        <f t="shared" si="40"/>
        <v>50000</v>
      </c>
      <c r="Z44" s="242">
        <f t="shared" si="41"/>
        <v>22529.360000000001</v>
      </c>
      <c r="AA44" s="242">
        <v>12600</v>
      </c>
      <c r="AB44" s="242"/>
      <c r="AC44" s="242">
        <f t="shared" si="42"/>
        <v>10010.428823529423</v>
      </c>
      <c r="AD44" s="222"/>
    </row>
    <row r="45" spans="1:30" ht="20.100000000000001" customHeight="1" outlineLevel="1">
      <c r="A45" s="214" t="s">
        <v>333</v>
      </c>
      <c r="B45" s="211" t="s">
        <v>334</v>
      </c>
      <c r="C45" s="236">
        <v>21890</v>
      </c>
      <c r="D45" s="236">
        <f t="shared" si="46"/>
        <v>18110</v>
      </c>
      <c r="E45" s="225">
        <v>40000</v>
      </c>
      <c r="F45" s="237">
        <v>15000</v>
      </c>
      <c r="G45" s="227">
        <f t="shared" si="44"/>
        <v>55000</v>
      </c>
      <c r="H45" s="225">
        <v>23</v>
      </c>
      <c r="I45" s="238">
        <v>23</v>
      </c>
      <c r="J45" s="239">
        <v>21890</v>
      </c>
      <c r="K45" s="239">
        <v>4378</v>
      </c>
      <c r="L45" s="239"/>
      <c r="M45" s="239"/>
      <c r="N45" s="240">
        <f t="shared" si="37"/>
        <v>26268</v>
      </c>
      <c r="O45" s="241">
        <v>3415</v>
      </c>
      <c r="P45" s="241">
        <v>9108.1299999999992</v>
      </c>
      <c r="Q45" s="240">
        <f t="shared" si="38"/>
        <v>13744.87</v>
      </c>
      <c r="R45" s="246">
        <f>[1]июнь24!AC97</f>
        <v>2.5600000000013097</v>
      </c>
      <c r="S45" s="240">
        <f t="shared" si="43"/>
        <v>13732</v>
      </c>
      <c r="T45" s="232">
        <f t="shared" si="45"/>
        <v>15000</v>
      </c>
      <c r="U45" s="240">
        <f>T45+S45</f>
        <v>28732</v>
      </c>
      <c r="V45" s="241"/>
      <c r="W45" s="241"/>
      <c r="X45" s="241"/>
      <c r="Y45" s="233">
        <f>N45+U45+V45+W45</f>
        <v>55000</v>
      </c>
      <c r="Z45" s="242">
        <f>Y45-O45-P45-Q45-X45</f>
        <v>28732</v>
      </c>
      <c r="AA45" s="242">
        <v>13700</v>
      </c>
      <c r="AB45" s="242"/>
      <c r="AC45" s="242">
        <f t="shared" si="42"/>
        <v>15034.560000000001</v>
      </c>
      <c r="AD45" s="222"/>
    </row>
    <row r="46" spans="1:30" ht="20.100000000000001" customHeight="1" outlineLevel="1">
      <c r="A46" s="214" t="s">
        <v>325</v>
      </c>
      <c r="B46" s="211" t="s">
        <v>335</v>
      </c>
      <c r="C46" s="236">
        <v>21891</v>
      </c>
      <c r="D46" s="236">
        <f t="shared" si="46"/>
        <v>18109</v>
      </c>
      <c r="E46" s="225">
        <v>40000</v>
      </c>
      <c r="F46" s="237">
        <v>10000</v>
      </c>
      <c r="G46" s="227">
        <f t="shared" si="44"/>
        <v>50000</v>
      </c>
      <c r="H46" s="225">
        <v>23</v>
      </c>
      <c r="I46" s="238">
        <v>23</v>
      </c>
      <c r="J46" s="239">
        <v>17785.63</v>
      </c>
      <c r="K46" s="239">
        <v>3557.13</v>
      </c>
      <c r="L46" s="239">
        <v>6442.8</v>
      </c>
      <c r="M46" s="239"/>
      <c r="N46" s="240">
        <f t="shared" si="37"/>
        <v>27785.56</v>
      </c>
      <c r="O46" s="241">
        <v>3612</v>
      </c>
      <c r="P46" s="241">
        <f>8331.88+5604.8</f>
        <v>13936.68</v>
      </c>
      <c r="Q46" s="240">
        <f t="shared" si="38"/>
        <v>10236.880000000001</v>
      </c>
      <c r="R46" s="246">
        <f>[1]июнь24!AC98</f>
        <v>92.862941176474123</v>
      </c>
      <c r="S46" s="240">
        <f>D46/H46*I46-K46-2337.43</f>
        <v>12214.439999999999</v>
      </c>
      <c r="T46" s="232">
        <f t="shared" si="45"/>
        <v>10000</v>
      </c>
      <c r="U46" s="240">
        <f t="shared" si="39"/>
        <v>22214.44</v>
      </c>
      <c r="V46" s="241"/>
      <c r="W46" s="241"/>
      <c r="X46" s="241"/>
      <c r="Y46" s="233">
        <f t="shared" si="40"/>
        <v>50000</v>
      </c>
      <c r="Z46" s="242">
        <f t="shared" si="41"/>
        <v>22214.44</v>
      </c>
      <c r="AA46" s="242">
        <v>12300</v>
      </c>
      <c r="AB46" s="242"/>
      <c r="AC46" s="242">
        <f t="shared" si="42"/>
        <v>10007.302941176473</v>
      </c>
      <c r="AD46" s="222"/>
    </row>
    <row r="47" spans="1:30" ht="20.100000000000001" customHeight="1" outlineLevel="1">
      <c r="A47" s="252"/>
      <c r="B47" s="253" t="s">
        <v>336</v>
      </c>
      <c r="C47" s="244">
        <f>C48</f>
        <v>26250</v>
      </c>
      <c r="D47" s="244">
        <f t="shared" ref="D47:AC47" si="48">D48</f>
        <v>123750</v>
      </c>
      <c r="E47" s="244">
        <f t="shared" si="48"/>
        <v>150000</v>
      </c>
      <c r="F47" s="244">
        <f t="shared" si="48"/>
        <v>0</v>
      </c>
      <c r="G47" s="244">
        <f t="shared" si="48"/>
        <v>150000</v>
      </c>
      <c r="H47" s="244">
        <f t="shared" si="48"/>
        <v>23</v>
      </c>
      <c r="I47" s="244">
        <f t="shared" si="48"/>
        <v>23</v>
      </c>
      <c r="J47" s="244">
        <f t="shared" si="48"/>
        <v>26250</v>
      </c>
      <c r="K47" s="244">
        <f t="shared" si="48"/>
        <v>5250</v>
      </c>
      <c r="L47" s="244">
        <f t="shared" si="48"/>
        <v>0</v>
      </c>
      <c r="M47" s="244">
        <f t="shared" si="48"/>
        <v>0</v>
      </c>
      <c r="N47" s="244">
        <f t="shared" si="48"/>
        <v>31500</v>
      </c>
      <c r="O47" s="244">
        <f t="shared" si="48"/>
        <v>4095</v>
      </c>
      <c r="P47" s="244">
        <f t="shared" si="48"/>
        <v>10922.35</v>
      </c>
      <c r="Q47" s="244">
        <f t="shared" si="48"/>
        <v>16482.650000000001</v>
      </c>
      <c r="R47" s="244">
        <f t="shared" si="48"/>
        <v>80.600000000005821</v>
      </c>
      <c r="S47" s="244">
        <f t="shared" si="48"/>
        <v>118500</v>
      </c>
      <c r="T47" s="244">
        <f t="shared" si="48"/>
        <v>0</v>
      </c>
      <c r="U47" s="244">
        <f t="shared" si="48"/>
        <v>118500</v>
      </c>
      <c r="V47" s="244">
        <f t="shared" si="48"/>
        <v>0</v>
      </c>
      <c r="W47" s="244">
        <f t="shared" si="48"/>
        <v>0</v>
      </c>
      <c r="X47" s="244">
        <f t="shared" si="48"/>
        <v>0</v>
      </c>
      <c r="Y47" s="244">
        <f t="shared" si="48"/>
        <v>150000</v>
      </c>
      <c r="Z47" s="244">
        <f t="shared" si="48"/>
        <v>118500</v>
      </c>
      <c r="AA47" s="244">
        <f t="shared" si="48"/>
        <v>118500</v>
      </c>
      <c r="AB47" s="244">
        <f t="shared" si="48"/>
        <v>0</v>
      </c>
      <c r="AC47" s="244">
        <f t="shared" si="48"/>
        <v>80.600000000005821</v>
      </c>
      <c r="AD47" s="222"/>
    </row>
    <row r="48" spans="1:30" ht="20.100000000000001" customHeight="1" outlineLevel="1">
      <c r="A48" s="214" t="s">
        <v>299</v>
      </c>
      <c r="B48" s="211" t="s">
        <v>224</v>
      </c>
      <c r="C48" s="236">
        <v>26250</v>
      </c>
      <c r="D48" s="236">
        <v>123750</v>
      </c>
      <c r="E48" s="225">
        <f>C48+D48</f>
        <v>150000</v>
      </c>
      <c r="F48" s="237">
        <v>0</v>
      </c>
      <c r="G48" s="227">
        <f>E48+F48</f>
        <v>150000</v>
      </c>
      <c r="H48" s="225">
        <v>23</v>
      </c>
      <c r="I48" s="238">
        <v>23</v>
      </c>
      <c r="J48" s="239">
        <v>26250</v>
      </c>
      <c r="K48" s="239">
        <v>5250</v>
      </c>
      <c r="L48" s="239"/>
      <c r="M48" s="239"/>
      <c r="N48" s="240">
        <f t="shared" ref="N48" si="49">J48+K48+L48+M48</f>
        <v>31500</v>
      </c>
      <c r="O48" s="241">
        <v>4095</v>
      </c>
      <c r="P48" s="241">
        <v>10922.35</v>
      </c>
      <c r="Q48" s="240">
        <f t="shared" ref="Q48" si="50">N48-O48-P48</f>
        <v>16482.650000000001</v>
      </c>
      <c r="R48" s="246">
        <f>[1]июнь24!AC100</f>
        <v>80.600000000005821</v>
      </c>
      <c r="S48" s="240">
        <f>D48/H48*I48-K48</f>
        <v>118500</v>
      </c>
      <c r="T48" s="232">
        <f t="shared" ref="T48" si="51">F48/H48*I48</f>
        <v>0</v>
      </c>
      <c r="U48" s="240">
        <f>T48+S48</f>
        <v>118500</v>
      </c>
      <c r="V48" s="241"/>
      <c r="W48" s="241"/>
      <c r="X48" s="241"/>
      <c r="Y48" s="233">
        <f>N48+U48+V48+W48</f>
        <v>150000</v>
      </c>
      <c r="Z48" s="242">
        <f>Y48-O48-P48-Q48-X48</f>
        <v>118500</v>
      </c>
      <c r="AA48" s="242">
        <v>118500</v>
      </c>
      <c r="AB48" s="242">
        <v>0</v>
      </c>
      <c r="AC48" s="242">
        <f t="shared" si="42"/>
        <v>80.600000000005821</v>
      </c>
      <c r="AD48" s="222"/>
    </row>
  </sheetData>
  <mergeCells count="21">
    <mergeCell ref="B1:AD1"/>
    <mergeCell ref="A2:B2"/>
    <mergeCell ref="C2:E2"/>
    <mergeCell ref="F2:F3"/>
    <mergeCell ref="G2:G3"/>
    <mergeCell ref="H2:I2"/>
    <mergeCell ref="J2:N2"/>
    <mergeCell ref="O2:O3"/>
    <mergeCell ref="P2:P3"/>
    <mergeCell ref="Q2:Q3"/>
    <mergeCell ref="A4:B4"/>
    <mergeCell ref="Z2:Z3"/>
    <mergeCell ref="AA2:AB3"/>
    <mergeCell ref="AC2:AC3"/>
    <mergeCell ref="AD2:AD3"/>
    <mergeCell ref="R2:R3"/>
    <mergeCell ref="S2:U2"/>
    <mergeCell ref="V2:V3"/>
    <mergeCell ref="W2:W3"/>
    <mergeCell ref="X2:X3"/>
    <mergeCell ref="Y2:Y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8"/>
  <sheetViews>
    <sheetView workbookViewId="0">
      <selection activeCell="H20" sqref="H20"/>
    </sheetView>
  </sheetViews>
  <sheetFormatPr defaultRowHeight="15"/>
  <cols>
    <col min="2" max="2" width="12.7109375" customWidth="1"/>
    <col min="3" max="3" width="17.5703125" customWidth="1"/>
    <col min="4" max="4" width="24.28515625" customWidth="1"/>
    <col min="5" max="17" width="12.42578125" customWidth="1"/>
  </cols>
  <sheetData>
    <row r="3" spans="1:19" s="355" customFormat="1" ht="14.65" customHeight="1">
      <c r="A3" s="398" t="s">
        <v>29</v>
      </c>
      <c r="B3" s="398" t="s">
        <v>23</v>
      </c>
      <c r="C3" s="398" t="s">
        <v>30</v>
      </c>
      <c r="D3" s="430"/>
      <c r="E3" s="426" t="s">
        <v>25</v>
      </c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18"/>
      <c r="Q3" s="453" t="s">
        <v>149</v>
      </c>
      <c r="R3" s="430" t="s">
        <v>373</v>
      </c>
      <c r="S3" s="430" t="s">
        <v>151</v>
      </c>
    </row>
    <row r="4" spans="1:19" s="355" customFormat="1" ht="17.100000000000001" customHeight="1">
      <c r="A4" s="398"/>
      <c r="B4" s="398"/>
      <c r="C4" s="398"/>
      <c r="D4" s="430"/>
      <c r="E4" s="428" t="s">
        <v>50</v>
      </c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9"/>
      <c r="Q4" s="454"/>
      <c r="R4" s="430"/>
      <c r="S4" s="430"/>
    </row>
    <row r="5" spans="1:19" s="355" customFormat="1" ht="16.149999999999999" customHeight="1">
      <c r="A5" s="398"/>
      <c r="B5" s="398"/>
      <c r="C5" s="398"/>
      <c r="D5" s="430"/>
      <c r="E5" s="426" t="s">
        <v>340</v>
      </c>
      <c r="F5" s="426"/>
      <c r="G5" s="418"/>
      <c r="H5" s="417" t="s">
        <v>342</v>
      </c>
      <c r="I5" s="426"/>
      <c r="J5" s="418"/>
      <c r="K5" s="417" t="s">
        <v>273</v>
      </c>
      <c r="L5" s="426"/>
      <c r="M5" s="426"/>
      <c r="N5" s="418"/>
      <c r="O5" s="456" t="s">
        <v>52</v>
      </c>
      <c r="P5" s="453" t="s">
        <v>49</v>
      </c>
      <c r="Q5" s="454"/>
      <c r="R5" s="430"/>
      <c r="S5" s="430"/>
    </row>
    <row r="6" spans="1:19" s="355" customFormat="1" ht="97.5" customHeight="1">
      <c r="A6" s="398"/>
      <c r="B6" s="398"/>
      <c r="C6" s="398"/>
      <c r="D6" s="344" t="s">
        <v>337</v>
      </c>
      <c r="E6" s="356" t="s">
        <v>26</v>
      </c>
      <c r="F6" s="345" t="s">
        <v>64</v>
      </c>
      <c r="G6" s="345" t="s">
        <v>251</v>
      </c>
      <c r="H6" s="345" t="s">
        <v>343</v>
      </c>
      <c r="I6" s="345" t="s">
        <v>64</v>
      </c>
      <c r="J6" s="345" t="s">
        <v>341</v>
      </c>
      <c r="K6" s="344" t="s">
        <v>339</v>
      </c>
      <c r="L6" s="344" t="s">
        <v>338</v>
      </c>
      <c r="M6" s="345" t="s">
        <v>274</v>
      </c>
      <c r="N6" s="344" t="s">
        <v>110</v>
      </c>
      <c r="O6" s="457"/>
      <c r="P6" s="455"/>
      <c r="Q6" s="455"/>
      <c r="R6" s="430"/>
      <c r="S6" s="430"/>
    </row>
    <row r="7" spans="1:19" s="158" customFormat="1">
      <c r="A7" s="154">
        <v>1</v>
      </c>
      <c r="B7" s="154" t="s">
        <v>73</v>
      </c>
      <c r="C7" s="154" t="str">
        <f>'Д4-ФОТ '!B6</f>
        <v>Сайфетдинов Эдуард Кияметдинович</v>
      </c>
      <c r="D7" s="359">
        <f>'Д4-ФОТ '!Y6</f>
        <v>222222.23</v>
      </c>
      <c r="E7" s="357">
        <v>192188490</v>
      </c>
      <c r="F7" s="148">
        <f>'НК, РГ'!H59</f>
        <v>159166319.72999999</v>
      </c>
      <c r="G7" s="148">
        <f>F7-E7</f>
        <v>-33022170.270000011</v>
      </c>
      <c r="H7" s="148">
        <f>'НК, РГ'!J59</f>
        <v>59997543.439999998</v>
      </c>
      <c r="I7" s="148">
        <f>'НК, РГ'!K59</f>
        <v>55504416.5</v>
      </c>
      <c r="J7" s="358">
        <f>H7-I7</f>
        <v>4493126.9399999976</v>
      </c>
      <c r="K7" s="155">
        <f>E7-H7</f>
        <v>132190946.56</v>
      </c>
      <c r="L7" s="155">
        <f>F7-I7</f>
        <v>103661903.22999999</v>
      </c>
      <c r="M7" s="148">
        <f>L7-K7</f>
        <v>-28529043.330000013</v>
      </c>
      <c r="N7" s="346">
        <v>0</v>
      </c>
      <c r="O7" s="157">
        <f>M7*N7</f>
        <v>0</v>
      </c>
      <c r="P7" s="156">
        <f>O7</f>
        <v>0</v>
      </c>
      <c r="Q7" s="156">
        <f>D7+P7</f>
        <v>222222.23</v>
      </c>
      <c r="R7" s="148">
        <v>0</v>
      </c>
      <c r="S7" s="155">
        <f>P7-R7</f>
        <v>0</v>
      </c>
    </row>
    <row r="8" spans="1:19" s="158" customFormat="1">
      <c r="A8" s="154"/>
      <c r="B8" s="154"/>
      <c r="C8" s="154"/>
      <c r="D8" s="155"/>
      <c r="E8" s="357"/>
      <c r="F8" s="148"/>
      <c r="G8" s="148"/>
      <c r="H8" s="148"/>
      <c r="I8" s="148"/>
      <c r="J8" s="358"/>
      <c r="K8" s="155"/>
      <c r="L8" s="155"/>
      <c r="M8" s="148"/>
      <c r="N8" s="346"/>
      <c r="O8" s="157"/>
      <c r="P8" s="156"/>
      <c r="Q8" s="156"/>
      <c r="R8" s="148"/>
      <c r="S8" s="155"/>
    </row>
  </sheetData>
  <mergeCells count="14">
    <mergeCell ref="R3:R6"/>
    <mergeCell ref="S3:S6"/>
    <mergeCell ref="Q3:Q6"/>
    <mergeCell ref="A3:A6"/>
    <mergeCell ref="B3:B6"/>
    <mergeCell ref="C3:C6"/>
    <mergeCell ref="D3:D5"/>
    <mergeCell ref="O5:O6"/>
    <mergeCell ref="P5:P6"/>
    <mergeCell ref="E5:G5"/>
    <mergeCell ref="H5:J5"/>
    <mergeCell ref="E3:P3"/>
    <mergeCell ref="E4:P4"/>
    <mergeCell ref="K5:N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4"/>
  <sheetViews>
    <sheetView tabSelected="1" zoomScale="85" zoomScaleNormal="85" workbookViewId="0">
      <selection activeCell="A30" sqref="A30:XFD30"/>
    </sheetView>
  </sheetViews>
  <sheetFormatPr defaultColWidth="8.5703125" defaultRowHeight="15.75" outlineLevelRow="1" outlineLevelCol="1"/>
  <cols>
    <col min="1" max="1" width="12.42578125" style="213" customWidth="1"/>
    <col min="2" max="2" width="41.28515625" style="259" customWidth="1"/>
    <col min="3" max="3" width="11.28515625" style="254" customWidth="1"/>
    <col min="4" max="5" width="10.140625" style="254" customWidth="1"/>
    <col min="6" max="6" width="11.5703125" style="254" customWidth="1"/>
    <col min="7" max="7" width="11.140625" style="254" customWidth="1"/>
    <col min="8" max="8" width="7.7109375" style="255" customWidth="1" outlineLevel="1"/>
    <col min="9" max="9" width="7.5703125" style="255" customWidth="1" outlineLevel="1"/>
    <col min="10" max="10" width="15" style="255" customWidth="1" outlineLevel="1"/>
    <col min="11" max="11" width="11.140625" style="255" customWidth="1" outlineLevel="1"/>
    <col min="12" max="13" width="10.7109375" style="255" customWidth="1" outlineLevel="1"/>
    <col min="14" max="14" width="13.7109375" style="255" customWidth="1"/>
    <col min="15" max="15" width="10.85546875" style="256" hidden="1" customWidth="1" outlineLevel="1"/>
    <col min="16" max="16" width="11.7109375" style="255" hidden="1" customWidth="1" outlineLevel="1"/>
    <col min="17" max="17" width="12.7109375" style="255" hidden="1" customWidth="1" outlineLevel="1"/>
    <col min="18" max="18" width="13" style="255" hidden="1" customWidth="1" outlineLevel="1"/>
    <col min="19" max="19" width="13.85546875" style="255" customWidth="1" collapsed="1"/>
    <col min="20" max="20" width="11.85546875" style="257" customWidth="1"/>
    <col min="21" max="21" width="11.85546875" style="255" customWidth="1"/>
    <col min="22" max="23" width="11.28515625" style="255" hidden="1" customWidth="1"/>
    <col min="24" max="24" width="11.28515625" style="255" customWidth="1"/>
    <col min="25" max="25" width="16.7109375" style="255" customWidth="1"/>
    <col min="26" max="26" width="16.85546875" style="255" hidden="1" customWidth="1" outlineLevel="1"/>
    <col min="27" max="27" width="16.5703125" style="255" hidden="1" customWidth="1" outlineLevel="1"/>
    <col min="28" max="28" width="17.7109375" style="255" hidden="1" customWidth="1" outlineLevel="1"/>
    <col min="29" max="29" width="18.42578125" style="255" hidden="1" customWidth="1" outlineLevel="1"/>
    <col min="30" max="30" width="12" style="258" customWidth="1" collapsed="1"/>
    <col min="31" max="32" width="8.5703125" style="213"/>
    <col min="33" max="33" width="11.28515625" style="213" customWidth="1"/>
    <col min="34" max="34" width="12.85546875" style="213" customWidth="1"/>
    <col min="35" max="16384" width="8.5703125" style="213"/>
  </cols>
  <sheetData>
    <row r="1" spans="1:34" ht="18.95" customHeight="1">
      <c r="A1" s="212" t="s">
        <v>275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</row>
    <row r="2" spans="1:34" ht="26.1" customHeight="1">
      <c r="A2" s="500" t="s">
        <v>276</v>
      </c>
      <c r="B2" s="500"/>
      <c r="C2" s="501" t="s">
        <v>24</v>
      </c>
      <c r="D2" s="501"/>
      <c r="E2" s="501"/>
      <c r="F2" s="501" t="s">
        <v>277</v>
      </c>
      <c r="G2" s="501" t="s">
        <v>278</v>
      </c>
      <c r="H2" s="502" t="s">
        <v>279</v>
      </c>
      <c r="I2" s="502"/>
      <c r="J2" s="503" t="s">
        <v>280</v>
      </c>
      <c r="K2" s="503"/>
      <c r="L2" s="503"/>
      <c r="M2" s="503"/>
      <c r="N2" s="503"/>
      <c r="O2" s="504" t="s">
        <v>281</v>
      </c>
      <c r="P2" s="494" t="s">
        <v>282</v>
      </c>
      <c r="Q2" s="494" t="s">
        <v>283</v>
      </c>
      <c r="R2" s="495" t="s">
        <v>284</v>
      </c>
      <c r="S2" s="496" t="s">
        <v>285</v>
      </c>
      <c r="T2" s="496"/>
      <c r="U2" s="496"/>
      <c r="V2" s="494" t="s">
        <v>286</v>
      </c>
      <c r="W2" s="494" t="s">
        <v>287</v>
      </c>
      <c r="X2" s="497" t="s">
        <v>288</v>
      </c>
      <c r="Y2" s="498" t="s">
        <v>89</v>
      </c>
      <c r="Z2" s="493" t="s">
        <v>289</v>
      </c>
      <c r="AA2" s="493" t="s">
        <v>290</v>
      </c>
      <c r="AB2" s="493"/>
      <c r="AC2" s="493" t="s">
        <v>291</v>
      </c>
      <c r="AD2" s="494" t="s">
        <v>292</v>
      </c>
    </row>
    <row r="3" spans="1:34" ht="50.1" customHeight="1">
      <c r="A3" s="214" t="s">
        <v>23</v>
      </c>
      <c r="B3" s="215" t="s">
        <v>293</v>
      </c>
      <c r="C3" s="216" t="s">
        <v>294</v>
      </c>
      <c r="D3" s="216" t="s">
        <v>295</v>
      </c>
      <c r="E3" s="216" t="s">
        <v>296</v>
      </c>
      <c r="F3" s="501"/>
      <c r="G3" s="501"/>
      <c r="H3" s="362" t="s">
        <v>26</v>
      </c>
      <c r="I3" s="362" t="s">
        <v>64</v>
      </c>
      <c r="J3" s="363" t="s">
        <v>24</v>
      </c>
      <c r="K3" s="363" t="s">
        <v>25</v>
      </c>
      <c r="L3" s="363" t="s">
        <v>286</v>
      </c>
      <c r="M3" s="219" t="s">
        <v>297</v>
      </c>
      <c r="N3" s="363" t="s">
        <v>298</v>
      </c>
      <c r="O3" s="504"/>
      <c r="P3" s="494"/>
      <c r="Q3" s="494"/>
      <c r="R3" s="495"/>
      <c r="S3" s="361" t="s">
        <v>24</v>
      </c>
      <c r="T3" s="361" t="s">
        <v>25</v>
      </c>
      <c r="U3" s="361" t="s">
        <v>298</v>
      </c>
      <c r="V3" s="494"/>
      <c r="W3" s="494"/>
      <c r="X3" s="497"/>
      <c r="Y3" s="498"/>
      <c r="Z3" s="493"/>
      <c r="AA3" s="493"/>
      <c r="AB3" s="493"/>
      <c r="AC3" s="493"/>
      <c r="AD3" s="494"/>
    </row>
    <row r="4" spans="1:34" ht="20.100000000000001" customHeight="1">
      <c r="A4" s="491" t="s">
        <v>300</v>
      </c>
      <c r="B4" s="492"/>
      <c r="C4" s="221">
        <f t="shared" ref="C4:AC4" si="0">C5+C7+C17+C33</f>
        <v>851975</v>
      </c>
      <c r="D4" s="221">
        <f t="shared" si="0"/>
        <v>2012150</v>
      </c>
      <c r="E4" s="221">
        <f t="shared" si="0"/>
        <v>2864125</v>
      </c>
      <c r="F4" s="221">
        <f t="shared" si="0"/>
        <v>450000.02</v>
      </c>
      <c r="G4" s="221">
        <f t="shared" si="0"/>
        <v>3314125.02</v>
      </c>
      <c r="H4" s="221">
        <f t="shared" si="0"/>
        <v>648</v>
      </c>
      <c r="I4" s="221">
        <f t="shared" si="0"/>
        <v>538</v>
      </c>
      <c r="J4" s="221">
        <f t="shared" si="0"/>
        <v>668409.51</v>
      </c>
      <c r="K4" s="221">
        <f t="shared" si="0"/>
        <v>127886.23999999999</v>
      </c>
      <c r="L4" s="221">
        <f t="shared" si="0"/>
        <v>149900.53</v>
      </c>
      <c r="M4" s="221">
        <f t="shared" si="0"/>
        <v>0</v>
      </c>
      <c r="N4" s="221">
        <f t="shared" si="0"/>
        <v>946196.28</v>
      </c>
      <c r="O4" s="221">
        <f t="shared" si="0"/>
        <v>126971.66</v>
      </c>
      <c r="P4" s="221">
        <f t="shared" si="0"/>
        <v>304545.2</v>
      </c>
      <c r="Q4" s="221">
        <f t="shared" si="0"/>
        <v>514679.42000000004</v>
      </c>
      <c r="R4" s="221">
        <f t="shared" si="0"/>
        <v>1782.968630231534</v>
      </c>
      <c r="S4" s="221">
        <f t="shared" si="0"/>
        <v>1870474.5322222221</v>
      </c>
      <c r="T4" s="221">
        <f t="shared" si="0"/>
        <v>1182191.111111111</v>
      </c>
      <c r="U4" s="221">
        <f t="shared" si="0"/>
        <v>3052665.6433333331</v>
      </c>
      <c r="V4" s="221">
        <f t="shared" si="0"/>
        <v>0</v>
      </c>
      <c r="W4" s="221">
        <f t="shared" si="0"/>
        <v>0</v>
      </c>
      <c r="X4" s="221">
        <f t="shared" si="0"/>
        <v>12562.5</v>
      </c>
      <c r="Y4" s="221">
        <f>Y5+Y7+Y17+Y33</f>
        <v>3998861.9233333338</v>
      </c>
      <c r="Z4" s="221">
        <f t="shared" si="0"/>
        <v>2275523.1433333335</v>
      </c>
      <c r="AA4" s="221">
        <f t="shared" si="0"/>
        <v>173300</v>
      </c>
      <c r="AB4" s="221">
        <f t="shared" si="0"/>
        <v>15000</v>
      </c>
      <c r="AC4" s="221">
        <f t="shared" si="0"/>
        <v>2089006.111963565</v>
      </c>
      <c r="AD4" s="251"/>
      <c r="AG4" s="343"/>
      <c r="AH4" s="343"/>
    </row>
    <row r="5" spans="1:34" ht="20.100000000000001" customHeight="1" outlineLevel="1">
      <c r="A5" s="252"/>
      <c r="B5" s="253" t="s">
        <v>73</v>
      </c>
      <c r="C5" s="244">
        <f>SUM(C6:C6)</f>
        <v>47250</v>
      </c>
      <c r="D5" s="244">
        <f t="shared" ref="D5:AC5" si="1">SUM(D6:D6)</f>
        <v>202750</v>
      </c>
      <c r="E5" s="244">
        <f t="shared" si="1"/>
        <v>250000</v>
      </c>
      <c r="F5" s="244">
        <f t="shared" si="1"/>
        <v>0.02</v>
      </c>
      <c r="G5" s="244">
        <f t="shared" si="1"/>
        <v>250000.02</v>
      </c>
      <c r="H5" s="244">
        <f t="shared" si="1"/>
        <v>18</v>
      </c>
      <c r="I5" s="244">
        <f t="shared" si="1"/>
        <v>18</v>
      </c>
      <c r="J5" s="244">
        <f t="shared" si="1"/>
        <v>34125</v>
      </c>
      <c r="K5" s="244">
        <f t="shared" si="1"/>
        <v>6825</v>
      </c>
      <c r="L5" s="244">
        <f t="shared" si="1"/>
        <v>0</v>
      </c>
      <c r="M5" s="244">
        <f t="shared" si="1"/>
        <v>0</v>
      </c>
      <c r="N5" s="244">
        <f t="shared" si="1"/>
        <v>40950</v>
      </c>
      <c r="O5" s="244">
        <f t="shared" si="1"/>
        <v>5324</v>
      </c>
      <c r="P5" s="244">
        <f t="shared" si="1"/>
        <v>4567</v>
      </c>
      <c r="Q5" s="244">
        <f t="shared" si="1"/>
        <v>31059</v>
      </c>
      <c r="R5" s="244">
        <f t="shared" si="1"/>
        <v>27.271818181805429</v>
      </c>
      <c r="S5" s="244">
        <f t="shared" si="1"/>
        <v>181272.23</v>
      </c>
      <c r="T5" s="244">
        <f t="shared" si="1"/>
        <v>0</v>
      </c>
      <c r="U5" s="244">
        <f t="shared" si="1"/>
        <v>181272.23</v>
      </c>
      <c r="V5" s="244">
        <f t="shared" si="1"/>
        <v>0</v>
      </c>
      <c r="W5" s="244">
        <f t="shared" si="1"/>
        <v>0</v>
      </c>
      <c r="X5" s="244">
        <f t="shared" si="1"/>
        <v>562.5</v>
      </c>
      <c r="Y5" s="244">
        <f>SUM(Y6:Y6)</f>
        <v>222222.23</v>
      </c>
      <c r="Z5" s="244">
        <f t="shared" si="1"/>
        <v>180709.73</v>
      </c>
      <c r="AA5" s="244">
        <f>SUM(AA6:AA6)</f>
        <v>0</v>
      </c>
      <c r="AB5" s="244">
        <f t="shared" si="1"/>
        <v>0</v>
      </c>
      <c r="AC5" s="244">
        <f t="shared" si="1"/>
        <v>180737.00181818183</v>
      </c>
      <c r="AD5" s="251"/>
      <c r="AG5" s="343"/>
      <c r="AH5" s="343"/>
    </row>
    <row r="6" spans="1:34" s="212" customFormat="1" ht="20.100000000000001" customHeight="1" outlineLevel="1">
      <c r="A6" s="223" t="s">
        <v>73</v>
      </c>
      <c r="B6" s="224" t="s">
        <v>384</v>
      </c>
      <c r="C6" s="225">
        <v>47250</v>
      </c>
      <c r="D6" s="225">
        <v>202750</v>
      </c>
      <c r="E6" s="225">
        <v>250000</v>
      </c>
      <c r="F6" s="226">
        <v>0.02</v>
      </c>
      <c r="G6" s="227">
        <v>250000.02</v>
      </c>
      <c r="H6" s="225">
        <v>18</v>
      </c>
      <c r="I6" s="225">
        <v>18</v>
      </c>
      <c r="J6" s="228">
        <v>34125</v>
      </c>
      <c r="K6" s="228">
        <v>6825</v>
      </c>
      <c r="L6" s="228">
        <v>0</v>
      </c>
      <c r="M6" s="228"/>
      <c r="N6" s="229">
        <v>40950</v>
      </c>
      <c r="O6" s="230">
        <v>5324</v>
      </c>
      <c r="P6" s="230">
        <v>4567</v>
      </c>
      <c r="Q6" s="229">
        <v>31059</v>
      </c>
      <c r="R6" s="340">
        <v>27.271818181805429</v>
      </c>
      <c r="S6" s="229">
        <v>181272.23</v>
      </c>
      <c r="T6" s="232"/>
      <c r="U6" s="248">
        <v>181272.23</v>
      </c>
      <c r="V6" s="230"/>
      <c r="W6" s="230"/>
      <c r="X6" s="230">
        <v>562.5</v>
      </c>
      <c r="Y6" s="233">
        <v>222222.23</v>
      </c>
      <c r="Z6" s="231">
        <v>180709.73</v>
      </c>
      <c r="AA6" s="242"/>
      <c r="AB6" s="231"/>
      <c r="AC6" s="231">
        <v>180737.00181818183</v>
      </c>
      <c r="AD6" s="235"/>
      <c r="AG6" s="343"/>
      <c r="AH6" s="343"/>
    </row>
    <row r="7" spans="1:34" ht="20.100000000000001" customHeight="1" outlineLevel="1">
      <c r="A7" s="252"/>
      <c r="B7" s="253" t="s">
        <v>301</v>
      </c>
      <c r="C7" s="244">
        <f t="shared" ref="C7:AC7" si="2">SUM(C8:C16)</f>
        <v>216300</v>
      </c>
      <c r="D7" s="244">
        <f t="shared" si="2"/>
        <v>833700</v>
      </c>
      <c r="E7" s="244">
        <f t="shared" si="2"/>
        <v>1050000</v>
      </c>
      <c r="F7" s="244">
        <f t="shared" si="2"/>
        <v>0</v>
      </c>
      <c r="G7" s="244">
        <f t="shared" si="2"/>
        <v>1050000</v>
      </c>
      <c r="H7" s="244">
        <f t="shared" si="2"/>
        <v>162</v>
      </c>
      <c r="I7" s="244">
        <f t="shared" si="2"/>
        <v>144</v>
      </c>
      <c r="J7" s="244">
        <f t="shared" si="2"/>
        <v>176925</v>
      </c>
      <c r="K7" s="244">
        <f t="shared" si="2"/>
        <v>35385</v>
      </c>
      <c r="L7" s="244">
        <f t="shared" si="2"/>
        <v>10064.83</v>
      </c>
      <c r="M7" s="244">
        <f t="shared" si="2"/>
        <v>0</v>
      </c>
      <c r="N7" s="244">
        <f t="shared" si="2"/>
        <v>222374.83000000002</v>
      </c>
      <c r="O7" s="244">
        <f t="shared" si="2"/>
        <v>31100.86</v>
      </c>
      <c r="P7" s="244">
        <f t="shared" si="2"/>
        <v>56931.280000000006</v>
      </c>
      <c r="Q7" s="244">
        <f t="shared" si="2"/>
        <v>134342.69</v>
      </c>
      <c r="R7" s="244">
        <f t="shared" si="2"/>
        <v>658.64153217934654</v>
      </c>
      <c r="S7" s="244">
        <f t="shared" si="2"/>
        <v>886800.3</v>
      </c>
      <c r="T7" s="244">
        <f t="shared" si="2"/>
        <v>332300</v>
      </c>
      <c r="U7" s="244">
        <f t="shared" si="2"/>
        <v>1219100.3</v>
      </c>
      <c r="V7" s="244">
        <f t="shared" si="2"/>
        <v>0</v>
      </c>
      <c r="W7" s="244">
        <f t="shared" si="2"/>
        <v>0</v>
      </c>
      <c r="X7" s="244">
        <f t="shared" si="2"/>
        <v>0</v>
      </c>
      <c r="Y7" s="244">
        <f t="shared" si="2"/>
        <v>1441475.13</v>
      </c>
      <c r="Z7" s="244">
        <f t="shared" si="2"/>
        <v>888800.3</v>
      </c>
      <c r="AA7" s="244">
        <f t="shared" si="2"/>
        <v>150000</v>
      </c>
      <c r="AB7" s="244">
        <f t="shared" si="2"/>
        <v>0</v>
      </c>
      <c r="AC7" s="244">
        <f t="shared" si="2"/>
        <v>739458.94153217948</v>
      </c>
      <c r="AD7" s="251"/>
      <c r="AG7" s="343"/>
      <c r="AH7" s="343"/>
    </row>
    <row r="8" spans="1:34" ht="20.100000000000001" customHeight="1" outlineLevel="1">
      <c r="A8" s="214" t="s">
        <v>28</v>
      </c>
      <c r="B8" s="211" t="s">
        <v>264</v>
      </c>
      <c r="C8" s="236">
        <v>26250</v>
      </c>
      <c r="D8" s="236">
        <v>73750</v>
      </c>
      <c r="E8" s="225">
        <v>100000</v>
      </c>
      <c r="F8" s="237"/>
      <c r="G8" s="227">
        <v>100000</v>
      </c>
      <c r="H8" s="225">
        <v>18</v>
      </c>
      <c r="I8" s="225">
        <v>18</v>
      </c>
      <c r="J8" s="228">
        <v>13125</v>
      </c>
      <c r="K8" s="228">
        <v>2625</v>
      </c>
      <c r="L8" s="228">
        <v>0</v>
      </c>
      <c r="M8" s="239"/>
      <c r="N8" s="240">
        <f t="shared" ref="N8:N16" si="3">J8+K8+L8+M8</f>
        <v>15750</v>
      </c>
      <c r="O8" s="230">
        <v>1800</v>
      </c>
      <c r="P8" s="230">
        <v>0</v>
      </c>
      <c r="Q8" s="240">
        <f t="shared" ref="Q8:Q16" si="4">N8-O8-P8</f>
        <v>13950</v>
      </c>
      <c r="R8" s="340">
        <v>77.871176470536739</v>
      </c>
      <c r="S8" s="229">
        <f>65*2000-J8-K8-14889.7</f>
        <v>99360.3</v>
      </c>
      <c r="T8" s="232">
        <f>'НК, РГ'!AB54</f>
        <v>65000</v>
      </c>
      <c r="U8" s="247">
        <f>T8+S8</f>
        <v>164360.29999999999</v>
      </c>
      <c r="V8" s="241"/>
      <c r="W8" s="241"/>
      <c r="X8" s="241"/>
      <c r="Y8" s="233">
        <f>N8+U8+V8+W8</f>
        <v>180110.3</v>
      </c>
      <c r="Z8" s="242">
        <v>97360.3</v>
      </c>
      <c r="AA8" s="242"/>
      <c r="AB8" s="242"/>
      <c r="AC8" s="242">
        <v>97438.17117647054</v>
      </c>
      <c r="AD8" s="222"/>
      <c r="AG8" s="343"/>
      <c r="AH8" s="343"/>
    </row>
    <row r="9" spans="1:34" s="212" customFormat="1" ht="20.100000000000001" customHeight="1" outlineLevel="1">
      <c r="A9" s="223" t="s">
        <v>379</v>
      </c>
      <c r="B9" s="224" t="s">
        <v>378</v>
      </c>
      <c r="C9" s="225">
        <v>29400</v>
      </c>
      <c r="D9" s="225">
        <v>120600</v>
      </c>
      <c r="E9" s="225">
        <v>150000</v>
      </c>
      <c r="F9" s="245"/>
      <c r="G9" s="227">
        <v>150000</v>
      </c>
      <c r="H9" s="225">
        <v>18</v>
      </c>
      <c r="I9" s="225">
        <v>18</v>
      </c>
      <c r="J9" s="228">
        <v>29400</v>
      </c>
      <c r="K9" s="228">
        <v>5880</v>
      </c>
      <c r="L9" s="228">
        <v>0</v>
      </c>
      <c r="M9" s="228"/>
      <c r="N9" s="229">
        <f t="shared" si="3"/>
        <v>35280</v>
      </c>
      <c r="O9" s="230">
        <v>4587</v>
      </c>
      <c r="P9" s="230">
        <v>9946.33</v>
      </c>
      <c r="Q9" s="229">
        <f t="shared" si="4"/>
        <v>20746.669999999998</v>
      </c>
      <c r="R9" s="340">
        <v>42.175378151194309</v>
      </c>
      <c r="S9" s="229">
        <f t="shared" ref="S9" si="5">D9/H9*I9-K9</f>
        <v>114720</v>
      </c>
      <c r="T9" s="232"/>
      <c r="U9" s="229">
        <f t="shared" ref="U9:U16" si="6">T9+S9</f>
        <v>114720</v>
      </c>
      <c r="V9" s="230"/>
      <c r="W9" s="230"/>
      <c r="X9" s="230"/>
      <c r="Y9" s="233">
        <f t="shared" ref="Y9:Y16" si="7">N9+U9+V9+W9</f>
        <v>150000</v>
      </c>
      <c r="Z9" s="231">
        <v>114720.00000000001</v>
      </c>
      <c r="AA9" s="231"/>
      <c r="AB9" s="231"/>
      <c r="AC9" s="231">
        <v>114762.17537815121</v>
      </c>
      <c r="AD9" s="235"/>
      <c r="AG9" s="343"/>
      <c r="AH9" s="343"/>
    </row>
    <row r="10" spans="1:34" ht="20.100000000000001" customHeight="1" outlineLevel="1">
      <c r="A10" s="214" t="s">
        <v>28</v>
      </c>
      <c r="B10" s="211" t="s">
        <v>234</v>
      </c>
      <c r="C10" s="236">
        <v>26250</v>
      </c>
      <c r="D10" s="236">
        <v>73750</v>
      </c>
      <c r="E10" s="225">
        <v>100000</v>
      </c>
      <c r="F10" s="237">
        <v>0</v>
      </c>
      <c r="G10" s="227">
        <v>100000</v>
      </c>
      <c r="H10" s="225">
        <v>18</v>
      </c>
      <c r="I10" s="225">
        <v>18</v>
      </c>
      <c r="J10" s="228">
        <v>26250</v>
      </c>
      <c r="K10" s="228">
        <v>5250</v>
      </c>
      <c r="L10" s="228">
        <v>0</v>
      </c>
      <c r="M10" s="239"/>
      <c r="N10" s="240">
        <f t="shared" si="3"/>
        <v>31500</v>
      </c>
      <c r="O10" s="230">
        <v>4095</v>
      </c>
      <c r="P10" s="230">
        <v>4440.66</v>
      </c>
      <c r="Q10" s="240">
        <f t="shared" si="4"/>
        <v>22964.34</v>
      </c>
      <c r="R10" s="340">
        <v>99.360000000015134</v>
      </c>
      <c r="S10" s="229">
        <f>65*2000-J10-K10</f>
        <v>98500</v>
      </c>
      <c r="T10" s="232">
        <f>'НК, РГ'!AB56</f>
        <v>65000</v>
      </c>
      <c r="U10" s="247">
        <f t="shared" si="6"/>
        <v>163500</v>
      </c>
      <c r="V10" s="241"/>
      <c r="W10" s="241"/>
      <c r="X10" s="241"/>
      <c r="Y10" s="233">
        <f t="shared" si="7"/>
        <v>195000</v>
      </c>
      <c r="Z10" s="242">
        <v>98500</v>
      </c>
      <c r="AA10" s="242"/>
      <c r="AB10" s="242"/>
      <c r="AC10" s="242">
        <v>98599.360000000015</v>
      </c>
      <c r="AD10" s="222"/>
      <c r="AG10" s="343"/>
      <c r="AH10" s="343"/>
    </row>
    <row r="11" spans="1:34" ht="20.100000000000001" customHeight="1" outlineLevel="1">
      <c r="A11" s="214" t="s">
        <v>28</v>
      </c>
      <c r="B11" s="211" t="s">
        <v>344</v>
      </c>
      <c r="C11" s="236">
        <v>26250</v>
      </c>
      <c r="D11" s="236">
        <v>73750</v>
      </c>
      <c r="E11" s="225">
        <v>100000</v>
      </c>
      <c r="F11" s="237"/>
      <c r="G11" s="227">
        <v>100000</v>
      </c>
      <c r="H11" s="225">
        <v>18</v>
      </c>
      <c r="I11" s="225">
        <v>0</v>
      </c>
      <c r="J11" s="228">
        <v>0</v>
      </c>
      <c r="K11" s="228">
        <v>0</v>
      </c>
      <c r="L11" s="228">
        <v>10064.83</v>
      </c>
      <c r="M11" s="239"/>
      <c r="N11" s="240">
        <f t="shared" si="3"/>
        <v>10064.83</v>
      </c>
      <c r="O11" s="230">
        <v>4110.8600000000006</v>
      </c>
      <c r="P11" s="230">
        <v>5953.97</v>
      </c>
      <c r="Q11" s="240">
        <f t="shared" si="4"/>
        <v>0</v>
      </c>
      <c r="R11" s="340">
        <v>76.190476190487971</v>
      </c>
      <c r="S11" s="229"/>
      <c r="T11" s="232"/>
      <c r="U11" s="240">
        <f t="shared" si="6"/>
        <v>0</v>
      </c>
      <c r="V11" s="241"/>
      <c r="W11" s="241"/>
      <c r="X11" s="241"/>
      <c r="Y11" s="233">
        <f t="shared" si="7"/>
        <v>10064.83</v>
      </c>
      <c r="Z11" s="242">
        <v>-9.0949470177292824E-13</v>
      </c>
      <c r="AA11" s="242"/>
      <c r="AB11" s="242"/>
      <c r="AC11" s="242">
        <v>76.190476190487061</v>
      </c>
      <c r="AD11" s="222"/>
      <c r="AG11" s="343"/>
      <c r="AH11" s="343"/>
    </row>
    <row r="12" spans="1:34" ht="20.100000000000001" customHeight="1" outlineLevel="1">
      <c r="A12" s="214" t="s">
        <v>28</v>
      </c>
      <c r="B12" s="211" t="s">
        <v>316</v>
      </c>
      <c r="C12" s="236">
        <v>26250</v>
      </c>
      <c r="D12" s="236">
        <v>73750</v>
      </c>
      <c r="E12" s="225">
        <v>100000</v>
      </c>
      <c r="F12" s="237">
        <v>0</v>
      </c>
      <c r="G12" s="227">
        <v>100000</v>
      </c>
      <c r="H12" s="225">
        <v>18</v>
      </c>
      <c r="I12" s="225">
        <v>18</v>
      </c>
      <c r="J12" s="228">
        <v>26250</v>
      </c>
      <c r="K12" s="228">
        <v>5250</v>
      </c>
      <c r="L12" s="228">
        <v>0</v>
      </c>
      <c r="M12" s="239"/>
      <c r="N12" s="240">
        <f t="shared" si="3"/>
        <v>31500</v>
      </c>
      <c r="O12" s="230">
        <v>4095</v>
      </c>
      <c r="P12" s="230">
        <v>8881.33</v>
      </c>
      <c r="Q12" s="240">
        <f t="shared" si="4"/>
        <v>18523.669999999998</v>
      </c>
      <c r="R12" s="340">
        <v>95.856956521776738</v>
      </c>
      <c r="S12" s="229">
        <f>65*2000-J12-K12</f>
        <v>98500</v>
      </c>
      <c r="T12" s="232">
        <f>'НК, РГ'!AB52</f>
        <v>65000</v>
      </c>
      <c r="U12" s="240">
        <f t="shared" si="6"/>
        <v>163500</v>
      </c>
      <c r="V12" s="241"/>
      <c r="W12" s="241"/>
      <c r="X12" s="241"/>
      <c r="Y12" s="233">
        <f>N12+U12+V12+W12</f>
        <v>195000</v>
      </c>
      <c r="Z12" s="242">
        <v>98500</v>
      </c>
      <c r="AA12" s="242"/>
      <c r="AB12" s="242"/>
      <c r="AC12" s="242">
        <v>98595.856956521777</v>
      </c>
      <c r="AD12" s="222"/>
      <c r="AG12" s="343"/>
      <c r="AH12" s="343"/>
    </row>
    <row r="13" spans="1:34" ht="20.100000000000001" customHeight="1" outlineLevel="1">
      <c r="A13" s="214" t="s">
        <v>28</v>
      </c>
      <c r="B13" s="211" t="s">
        <v>258</v>
      </c>
      <c r="C13" s="236">
        <v>26250</v>
      </c>
      <c r="D13" s="236">
        <v>73750</v>
      </c>
      <c r="E13" s="225">
        <v>100000</v>
      </c>
      <c r="F13" s="237"/>
      <c r="G13" s="227">
        <v>100000</v>
      </c>
      <c r="H13" s="225">
        <v>18</v>
      </c>
      <c r="I13" s="225">
        <v>18</v>
      </c>
      <c r="J13" s="228">
        <v>26250</v>
      </c>
      <c r="K13" s="228">
        <v>5250</v>
      </c>
      <c r="L13" s="228">
        <v>0</v>
      </c>
      <c r="M13" s="239"/>
      <c r="N13" s="240">
        <f t="shared" si="3"/>
        <v>31500</v>
      </c>
      <c r="O13" s="230">
        <v>3913</v>
      </c>
      <c r="P13" s="230">
        <v>8881.33</v>
      </c>
      <c r="Q13" s="240">
        <f t="shared" si="4"/>
        <v>18705.669999999998</v>
      </c>
      <c r="R13" s="340">
        <v>35.97999999995227</v>
      </c>
      <c r="S13" s="229">
        <f>70*2000-J13-K13</f>
        <v>108500</v>
      </c>
      <c r="T13" s="232">
        <f>'НК, РГ'!AB55</f>
        <v>77000</v>
      </c>
      <c r="U13" s="240">
        <f t="shared" si="6"/>
        <v>185500</v>
      </c>
      <c r="V13" s="241"/>
      <c r="W13" s="241"/>
      <c r="X13" s="241"/>
      <c r="Y13" s="233">
        <f t="shared" si="7"/>
        <v>217000</v>
      </c>
      <c r="Z13" s="242">
        <v>110500</v>
      </c>
      <c r="AA13" s="242"/>
      <c r="AB13" s="242"/>
      <c r="AC13" s="242">
        <v>110535.97999999995</v>
      </c>
      <c r="AD13" s="222"/>
      <c r="AG13" s="343"/>
      <c r="AH13" s="343"/>
    </row>
    <row r="14" spans="1:34" s="212" customFormat="1" ht="20.100000000000001" customHeight="1" outlineLevel="1">
      <c r="A14" s="223" t="s">
        <v>379</v>
      </c>
      <c r="B14" s="224" t="s">
        <v>260</v>
      </c>
      <c r="C14" s="225"/>
      <c r="D14" s="225">
        <v>150000</v>
      </c>
      <c r="E14" s="225">
        <v>150000</v>
      </c>
      <c r="F14" s="245"/>
      <c r="G14" s="227">
        <v>150000</v>
      </c>
      <c r="H14" s="225">
        <v>18</v>
      </c>
      <c r="I14" s="225">
        <v>18</v>
      </c>
      <c r="J14" s="228"/>
      <c r="K14" s="228"/>
      <c r="L14" s="228"/>
      <c r="M14" s="228"/>
      <c r="N14" s="229">
        <f t="shared" si="3"/>
        <v>0</v>
      </c>
      <c r="O14" s="230"/>
      <c r="P14" s="230"/>
      <c r="Q14" s="229">
        <f t="shared" si="4"/>
        <v>0</v>
      </c>
      <c r="R14" s="340">
        <v>44.799266666639596</v>
      </c>
      <c r="S14" s="229">
        <f t="shared" ref="S14" si="8">D14/H14*I14-K14</f>
        <v>150000</v>
      </c>
      <c r="T14" s="232"/>
      <c r="U14" s="229">
        <f t="shared" si="6"/>
        <v>150000</v>
      </c>
      <c r="V14" s="230"/>
      <c r="W14" s="230"/>
      <c r="X14" s="241"/>
      <c r="Y14" s="233">
        <f t="shared" si="7"/>
        <v>150000</v>
      </c>
      <c r="Z14" s="231">
        <v>150000</v>
      </c>
      <c r="AA14" s="234">
        <v>150000</v>
      </c>
      <c r="AB14" s="231"/>
      <c r="AC14" s="231">
        <v>44.799266666639596</v>
      </c>
      <c r="AD14" s="235"/>
      <c r="AG14" s="343"/>
      <c r="AH14" s="343"/>
    </row>
    <row r="15" spans="1:34" ht="20.100000000000001" customHeight="1" outlineLevel="1">
      <c r="A15" s="214" t="s">
        <v>28</v>
      </c>
      <c r="B15" s="211" t="s">
        <v>232</v>
      </c>
      <c r="C15" s="236">
        <v>26250</v>
      </c>
      <c r="D15" s="236">
        <v>73750</v>
      </c>
      <c r="E15" s="225">
        <v>100000</v>
      </c>
      <c r="F15" s="237"/>
      <c r="G15" s="227">
        <v>100000</v>
      </c>
      <c r="H15" s="225">
        <v>18</v>
      </c>
      <c r="I15" s="225">
        <v>18</v>
      </c>
      <c r="J15" s="228">
        <v>26250</v>
      </c>
      <c r="K15" s="228">
        <v>5250</v>
      </c>
      <c r="L15" s="228">
        <v>0</v>
      </c>
      <c r="M15" s="239"/>
      <c r="N15" s="240">
        <f t="shared" si="3"/>
        <v>31500</v>
      </c>
      <c r="O15" s="230">
        <v>4095</v>
      </c>
      <c r="P15" s="230">
        <v>8881.33</v>
      </c>
      <c r="Q15" s="240">
        <f t="shared" si="4"/>
        <v>18523.669999999998</v>
      </c>
      <c r="R15" s="340">
        <v>87.247058823500993</v>
      </c>
      <c r="S15" s="229">
        <f>67*2000-J15-K15</f>
        <v>102500</v>
      </c>
      <c r="T15" s="232">
        <f>'НК, РГ'!AB53</f>
        <v>60300</v>
      </c>
      <c r="U15" s="240">
        <f t="shared" si="6"/>
        <v>162800</v>
      </c>
      <c r="V15" s="241"/>
      <c r="W15" s="241"/>
      <c r="X15" s="241"/>
      <c r="Y15" s="233">
        <f t="shared" si="7"/>
        <v>194300</v>
      </c>
      <c r="Z15" s="242">
        <v>104500</v>
      </c>
      <c r="AA15" s="242"/>
      <c r="AB15" s="242"/>
      <c r="AC15" s="242">
        <v>104587.2470588235</v>
      </c>
      <c r="AD15" s="222"/>
      <c r="AG15" s="343"/>
      <c r="AH15" s="343"/>
    </row>
    <row r="16" spans="1:34" s="212" customFormat="1" ht="20.100000000000001" customHeight="1" outlineLevel="1">
      <c r="A16" s="223" t="s">
        <v>379</v>
      </c>
      <c r="B16" s="224" t="s">
        <v>254</v>
      </c>
      <c r="C16" s="225">
        <v>29400</v>
      </c>
      <c r="D16" s="225">
        <v>120600</v>
      </c>
      <c r="E16" s="225">
        <v>150000</v>
      </c>
      <c r="F16" s="245"/>
      <c r="G16" s="227">
        <v>150000</v>
      </c>
      <c r="H16" s="225">
        <v>18</v>
      </c>
      <c r="I16" s="225">
        <v>18</v>
      </c>
      <c r="J16" s="228">
        <v>29400</v>
      </c>
      <c r="K16" s="228">
        <v>5880</v>
      </c>
      <c r="L16" s="228">
        <v>0</v>
      </c>
      <c r="M16" s="228"/>
      <c r="N16" s="229">
        <f t="shared" si="3"/>
        <v>35280</v>
      </c>
      <c r="O16" s="230">
        <v>4405</v>
      </c>
      <c r="P16" s="230">
        <v>9946.33</v>
      </c>
      <c r="Q16" s="229">
        <f t="shared" si="4"/>
        <v>20928.669999999998</v>
      </c>
      <c r="R16" s="340">
        <v>99.161219355242793</v>
      </c>
      <c r="S16" s="229">
        <f t="shared" ref="S16" si="9">D16/H16*I16-K16</f>
        <v>114720</v>
      </c>
      <c r="T16" s="232"/>
      <c r="U16" s="229">
        <f t="shared" si="6"/>
        <v>114720</v>
      </c>
      <c r="V16" s="230"/>
      <c r="W16" s="230"/>
      <c r="X16" s="230"/>
      <c r="Y16" s="233">
        <f t="shared" si="7"/>
        <v>150000</v>
      </c>
      <c r="Z16" s="231">
        <v>114720.00000000001</v>
      </c>
      <c r="AA16" s="231"/>
      <c r="AB16" s="231"/>
      <c r="AC16" s="231">
        <v>114819.16121935526</v>
      </c>
      <c r="AD16" s="235"/>
      <c r="AG16" s="343"/>
      <c r="AH16" s="343"/>
    </row>
    <row r="17" spans="1:34" ht="20.100000000000001" customHeight="1" outlineLevel="1">
      <c r="A17" s="252"/>
      <c r="B17" s="253" t="s">
        <v>303</v>
      </c>
      <c r="C17" s="244">
        <f t="shared" ref="C17:AC17" si="10">SUM(C18:C32)</f>
        <v>380050</v>
      </c>
      <c r="D17" s="244">
        <f t="shared" si="10"/>
        <v>744950</v>
      </c>
      <c r="E17" s="244">
        <f t="shared" si="10"/>
        <v>1125000</v>
      </c>
      <c r="F17" s="244">
        <f t="shared" si="10"/>
        <v>285000</v>
      </c>
      <c r="G17" s="244">
        <f t="shared" si="10"/>
        <v>1410000</v>
      </c>
      <c r="H17" s="244">
        <f t="shared" si="10"/>
        <v>270</v>
      </c>
      <c r="I17" s="244">
        <f t="shared" si="10"/>
        <v>254</v>
      </c>
      <c r="J17" s="244">
        <f t="shared" si="10"/>
        <v>319760.78999999998</v>
      </c>
      <c r="K17" s="244">
        <f t="shared" si="10"/>
        <v>63026.239999999998</v>
      </c>
      <c r="L17" s="244">
        <f t="shared" si="10"/>
        <v>89119.659999999989</v>
      </c>
      <c r="M17" s="244">
        <f t="shared" si="10"/>
        <v>0</v>
      </c>
      <c r="N17" s="244">
        <f t="shared" si="10"/>
        <v>471906.69</v>
      </c>
      <c r="O17" s="244">
        <f t="shared" si="10"/>
        <v>64265.8</v>
      </c>
      <c r="P17" s="244">
        <f t="shared" si="10"/>
        <v>158992.5</v>
      </c>
      <c r="Q17" s="244">
        <f t="shared" si="10"/>
        <v>248648.39</v>
      </c>
      <c r="R17" s="244">
        <f t="shared" si="10"/>
        <v>641.17370869638398</v>
      </c>
      <c r="S17" s="244">
        <f t="shared" si="10"/>
        <v>643088.90666666662</v>
      </c>
      <c r="T17" s="244">
        <f t="shared" si="10"/>
        <v>709891.11111111112</v>
      </c>
      <c r="U17" s="244">
        <f t="shared" si="10"/>
        <v>1352980.0177777775</v>
      </c>
      <c r="V17" s="244">
        <f t="shared" si="10"/>
        <v>0</v>
      </c>
      <c r="W17" s="244">
        <f t="shared" si="10"/>
        <v>0</v>
      </c>
      <c r="X17" s="244">
        <f t="shared" si="10"/>
        <v>12000</v>
      </c>
      <c r="Y17" s="244">
        <f>SUM(Y18:Y32)</f>
        <v>1824886.7077777779</v>
      </c>
      <c r="Z17" s="244">
        <f t="shared" si="10"/>
        <v>906700.01777777774</v>
      </c>
      <c r="AA17" s="244">
        <f t="shared" si="10"/>
        <v>0</v>
      </c>
      <c r="AB17" s="244">
        <f t="shared" si="10"/>
        <v>0</v>
      </c>
      <c r="AC17" s="244">
        <f t="shared" si="10"/>
        <v>907341.19148647424</v>
      </c>
      <c r="AD17" s="222"/>
      <c r="AG17" s="343"/>
      <c r="AH17" s="343"/>
    </row>
    <row r="18" spans="1:34" ht="20.100000000000001" customHeight="1" outlineLevel="1">
      <c r="A18" s="214" t="s">
        <v>304</v>
      </c>
      <c r="B18" s="211" t="s">
        <v>305</v>
      </c>
      <c r="C18" s="236">
        <v>23630</v>
      </c>
      <c r="D18" s="236">
        <v>21370</v>
      </c>
      <c r="E18" s="225">
        <v>45000</v>
      </c>
      <c r="F18" s="237">
        <v>35000</v>
      </c>
      <c r="G18" s="227">
        <v>80000</v>
      </c>
      <c r="H18" s="225">
        <v>18</v>
      </c>
      <c r="I18" s="225">
        <v>18</v>
      </c>
      <c r="J18" s="228">
        <v>16910.72</v>
      </c>
      <c r="K18" s="228">
        <v>3150.67</v>
      </c>
      <c r="L18" s="228">
        <v>6869.17</v>
      </c>
      <c r="M18" s="239"/>
      <c r="N18" s="240">
        <v>26930.559999999998</v>
      </c>
      <c r="O18" s="230">
        <v>3501</v>
      </c>
      <c r="P18" s="230">
        <v>10600.72</v>
      </c>
      <c r="Q18" s="240">
        <v>12828.839999999998</v>
      </c>
      <c r="R18" s="340">
        <v>11.570434782617667</v>
      </c>
      <c r="S18" s="229">
        <v>18219.330000000002</v>
      </c>
      <c r="T18" s="232">
        <v>35000</v>
      </c>
      <c r="U18" s="240">
        <f>S18+T18</f>
        <v>53219.33</v>
      </c>
      <c r="V18" s="241"/>
      <c r="W18" s="241"/>
      <c r="X18" s="241"/>
      <c r="Y18" s="233">
        <f>N18+U18</f>
        <v>80149.89</v>
      </c>
      <c r="Z18" s="242">
        <v>53219.33</v>
      </c>
      <c r="AA18" s="242"/>
      <c r="AB18" s="242"/>
      <c r="AC18" s="242">
        <v>53230.900434782619</v>
      </c>
      <c r="AD18" s="222"/>
      <c r="AG18" s="343"/>
      <c r="AH18" s="343"/>
    </row>
    <row r="19" spans="1:34" ht="20.100000000000001" customHeight="1" outlineLevel="1">
      <c r="A19" s="214" t="s">
        <v>306</v>
      </c>
      <c r="B19" s="211" t="s">
        <v>308</v>
      </c>
      <c r="C19" s="236">
        <v>26250</v>
      </c>
      <c r="D19" s="236">
        <v>53750</v>
      </c>
      <c r="E19" s="225">
        <v>80000</v>
      </c>
      <c r="F19" s="237">
        <v>0</v>
      </c>
      <c r="G19" s="227">
        <v>80000</v>
      </c>
      <c r="H19" s="225">
        <v>18</v>
      </c>
      <c r="I19" s="225">
        <v>18</v>
      </c>
      <c r="J19" s="228">
        <v>11666.67</v>
      </c>
      <c r="K19" s="228">
        <v>2333.33</v>
      </c>
      <c r="L19" s="228">
        <v>14954.38</v>
      </c>
      <c r="M19" s="239"/>
      <c r="N19" s="240">
        <v>28954.379999999997</v>
      </c>
      <c r="O19" s="230">
        <v>3764</v>
      </c>
      <c r="P19" s="230">
        <v>8880.33</v>
      </c>
      <c r="Q19" s="240">
        <v>16310.049999999997</v>
      </c>
      <c r="R19" s="340">
        <v>53.944210526315146</v>
      </c>
      <c r="S19" s="229">
        <v>51045.619999999995</v>
      </c>
      <c r="T19" s="232">
        <f>мех!R24</f>
        <v>83700</v>
      </c>
      <c r="U19" s="240">
        <f t="shared" ref="U19:U32" si="11">S19+T19</f>
        <v>134745.62</v>
      </c>
      <c r="V19" s="241"/>
      <c r="W19" s="241"/>
      <c r="X19" s="241">
        <f>мех!T24</f>
        <v>3000</v>
      </c>
      <c r="Y19" s="233">
        <f t="shared" ref="Y19:Y32" si="12">N19+U19</f>
        <v>163700</v>
      </c>
      <c r="Z19" s="242">
        <v>51045.62</v>
      </c>
      <c r="AA19" s="242"/>
      <c r="AB19" s="242"/>
      <c r="AC19" s="242">
        <v>51099.564210526318</v>
      </c>
      <c r="AD19" s="222"/>
      <c r="AG19" s="343"/>
      <c r="AH19" s="343"/>
    </row>
    <row r="20" spans="1:34" ht="20.100000000000001" customHeight="1" outlineLevel="1">
      <c r="A20" s="214" t="s">
        <v>304</v>
      </c>
      <c r="B20" s="211" t="s">
        <v>207</v>
      </c>
      <c r="C20" s="236">
        <v>23630</v>
      </c>
      <c r="D20" s="236">
        <v>21370</v>
      </c>
      <c r="E20" s="225">
        <v>45000</v>
      </c>
      <c r="F20" s="237">
        <v>35000</v>
      </c>
      <c r="G20" s="227">
        <v>80000</v>
      </c>
      <c r="H20" s="225">
        <v>18</v>
      </c>
      <c r="I20" s="225">
        <v>8</v>
      </c>
      <c r="J20" s="228">
        <v>13760.06</v>
      </c>
      <c r="K20" s="228">
        <v>2520.5300000000002</v>
      </c>
      <c r="L20" s="228">
        <v>16205.08</v>
      </c>
      <c r="M20" s="239"/>
      <c r="N20" s="240">
        <v>32485.67</v>
      </c>
      <c r="O20" s="230">
        <v>11111.8</v>
      </c>
      <c r="P20" s="230">
        <v>21373.87</v>
      </c>
      <c r="Q20" s="240">
        <v>0</v>
      </c>
      <c r="R20" s="340">
        <v>63.656106442584132</v>
      </c>
      <c r="S20" s="229">
        <v>6977.2477777777767</v>
      </c>
      <c r="T20" s="232">
        <v>15555.555555555555</v>
      </c>
      <c r="U20" s="240">
        <f t="shared" si="11"/>
        <v>22532.80333333333</v>
      </c>
      <c r="V20" s="241"/>
      <c r="W20" s="241"/>
      <c r="X20" s="241"/>
      <c r="Y20" s="233">
        <f t="shared" si="12"/>
        <v>55018.473333333328</v>
      </c>
      <c r="Z20" s="242">
        <v>22532.803333333326</v>
      </c>
      <c r="AA20" s="242"/>
      <c r="AB20" s="242"/>
      <c r="AC20" s="242">
        <v>22596.45943977591</v>
      </c>
      <c r="AD20" s="222"/>
      <c r="AG20" s="343"/>
      <c r="AH20" s="343"/>
    </row>
    <row r="21" spans="1:34" ht="20.100000000000001" customHeight="1" outlineLevel="1">
      <c r="A21" s="214" t="s">
        <v>304</v>
      </c>
      <c r="B21" s="211" t="s">
        <v>380</v>
      </c>
      <c r="C21" s="236">
        <v>23630</v>
      </c>
      <c r="D21" s="236">
        <v>21370</v>
      </c>
      <c r="E21" s="225">
        <v>45000</v>
      </c>
      <c r="F21" s="237">
        <v>35000</v>
      </c>
      <c r="G21" s="227">
        <v>80000</v>
      </c>
      <c r="H21" s="225">
        <v>18</v>
      </c>
      <c r="I21" s="225">
        <v>17</v>
      </c>
      <c r="J21" s="228">
        <v>23212.059999999998</v>
      </c>
      <c r="K21" s="228">
        <v>4410.93</v>
      </c>
      <c r="L21" s="228">
        <v>23567.03</v>
      </c>
      <c r="M21" s="239"/>
      <c r="N21" s="240">
        <v>51190.02</v>
      </c>
      <c r="O21" s="230">
        <v>6654</v>
      </c>
      <c r="P21" s="230">
        <v>44536.02</v>
      </c>
      <c r="Q21" s="240">
        <v>0</v>
      </c>
      <c r="R21" s="340">
        <v>93.85543859648169</v>
      </c>
      <c r="S21" s="229">
        <v>15771.847777777777</v>
      </c>
      <c r="T21" s="232">
        <v>33055.555555555555</v>
      </c>
      <c r="U21" s="240">
        <f t="shared" si="11"/>
        <v>48827.403333333335</v>
      </c>
      <c r="V21" s="241"/>
      <c r="W21" s="241"/>
      <c r="X21" s="241"/>
      <c r="Y21" s="233">
        <f t="shared" si="12"/>
        <v>100017.42333333334</v>
      </c>
      <c r="Z21" s="242">
        <v>48827.403333333343</v>
      </c>
      <c r="AA21" s="242"/>
      <c r="AB21" s="242"/>
      <c r="AC21" s="242">
        <v>48921.258771929824</v>
      </c>
      <c r="AD21" s="222"/>
      <c r="AG21" s="343"/>
      <c r="AH21" s="343"/>
    </row>
    <row r="22" spans="1:34" ht="20.100000000000001" customHeight="1" outlineLevel="1">
      <c r="A22" s="214" t="s">
        <v>304</v>
      </c>
      <c r="B22" s="211" t="s">
        <v>374</v>
      </c>
      <c r="C22" s="236">
        <v>23630</v>
      </c>
      <c r="D22" s="236">
        <v>21370</v>
      </c>
      <c r="E22" s="225">
        <v>45000</v>
      </c>
      <c r="F22" s="237">
        <v>35000</v>
      </c>
      <c r="G22" s="227">
        <v>80000</v>
      </c>
      <c r="H22" s="225">
        <v>18</v>
      </c>
      <c r="I22" s="225">
        <v>18</v>
      </c>
      <c r="J22" s="228">
        <v>26625.279999999999</v>
      </c>
      <c r="K22" s="228">
        <v>5093.58</v>
      </c>
      <c r="L22" s="228">
        <v>0</v>
      </c>
      <c r="M22" s="239"/>
      <c r="N22" s="240">
        <v>31718.86</v>
      </c>
      <c r="O22" s="230">
        <v>4123</v>
      </c>
      <c r="P22" s="230">
        <v>10600.72</v>
      </c>
      <c r="Q22" s="240">
        <v>16995.14</v>
      </c>
      <c r="R22" s="340">
        <v>68.77952380952047</v>
      </c>
      <c r="S22" s="229">
        <v>14438.53</v>
      </c>
      <c r="T22" s="232">
        <v>35000</v>
      </c>
      <c r="U22" s="240">
        <f t="shared" si="11"/>
        <v>49438.53</v>
      </c>
      <c r="V22" s="241"/>
      <c r="W22" s="241"/>
      <c r="X22" s="241"/>
      <c r="Y22" s="233">
        <f t="shared" si="12"/>
        <v>81157.39</v>
      </c>
      <c r="Z22" s="242">
        <v>49438.53</v>
      </c>
      <c r="AA22" s="242"/>
      <c r="AB22" s="242"/>
      <c r="AC22" s="242">
        <v>49507.309523809519</v>
      </c>
      <c r="AD22" s="222"/>
      <c r="AG22" s="343"/>
      <c r="AH22" s="343"/>
    </row>
    <row r="23" spans="1:34" ht="20.100000000000001" customHeight="1" outlineLevel="1">
      <c r="A23" s="214" t="s">
        <v>306</v>
      </c>
      <c r="B23" s="211" t="s">
        <v>311</v>
      </c>
      <c r="C23" s="236">
        <v>26250</v>
      </c>
      <c r="D23" s="236">
        <v>53750</v>
      </c>
      <c r="E23" s="225">
        <v>80000</v>
      </c>
      <c r="F23" s="237">
        <v>0</v>
      </c>
      <c r="G23" s="227">
        <v>80000</v>
      </c>
      <c r="H23" s="225">
        <v>18</v>
      </c>
      <c r="I23" s="225">
        <v>18</v>
      </c>
      <c r="J23" s="228">
        <v>26250</v>
      </c>
      <c r="K23" s="228">
        <v>5250</v>
      </c>
      <c r="L23" s="228">
        <v>0</v>
      </c>
      <c r="M23" s="239"/>
      <c r="N23" s="240">
        <v>31500</v>
      </c>
      <c r="O23" s="230">
        <v>4095</v>
      </c>
      <c r="P23" s="230">
        <v>8881.33</v>
      </c>
      <c r="Q23" s="240">
        <v>18523.669999999998</v>
      </c>
      <c r="R23" s="340">
        <v>14.39000000001397</v>
      </c>
      <c r="S23" s="229">
        <v>48500</v>
      </c>
      <c r="T23" s="232">
        <f>мех!R25</f>
        <v>92460</v>
      </c>
      <c r="U23" s="240">
        <f t="shared" si="11"/>
        <v>140960</v>
      </c>
      <c r="V23" s="241"/>
      <c r="W23" s="241"/>
      <c r="X23" s="241">
        <f>мех!T25</f>
        <v>5000</v>
      </c>
      <c r="Y23" s="233">
        <f t="shared" si="12"/>
        <v>172460</v>
      </c>
      <c r="Z23" s="242">
        <v>48500</v>
      </c>
      <c r="AA23" s="242"/>
      <c r="AB23" s="242"/>
      <c r="AC23" s="242">
        <v>48514.390000000014</v>
      </c>
      <c r="AD23" s="222"/>
      <c r="AG23" s="343"/>
      <c r="AH23" s="343"/>
    </row>
    <row r="24" spans="1:34" ht="20.100000000000001" customHeight="1" outlineLevel="1">
      <c r="A24" s="214" t="s">
        <v>382</v>
      </c>
      <c r="B24" s="211" t="s">
        <v>371</v>
      </c>
      <c r="C24" s="236">
        <v>30000</v>
      </c>
      <c r="D24" s="236">
        <v>120000</v>
      </c>
      <c r="E24" s="225">
        <v>150000</v>
      </c>
      <c r="F24" s="237">
        <v>0</v>
      </c>
      <c r="G24" s="227">
        <v>150000</v>
      </c>
      <c r="H24" s="225">
        <v>18</v>
      </c>
      <c r="I24" s="225">
        <v>18</v>
      </c>
      <c r="J24" s="228">
        <v>30000</v>
      </c>
      <c r="K24" s="228">
        <v>6000</v>
      </c>
      <c r="L24" s="228">
        <v>0</v>
      </c>
      <c r="M24" s="239"/>
      <c r="N24" s="240">
        <v>36000</v>
      </c>
      <c r="O24" s="230">
        <v>4680</v>
      </c>
      <c r="P24" s="230">
        <v>10149.67</v>
      </c>
      <c r="Q24" s="240">
        <v>21170.33</v>
      </c>
      <c r="R24" s="340">
        <v>9.3085714286135044</v>
      </c>
      <c r="S24" s="229">
        <v>114000</v>
      </c>
      <c r="T24" s="232">
        <v>0</v>
      </c>
      <c r="U24" s="240">
        <f t="shared" si="11"/>
        <v>114000</v>
      </c>
      <c r="V24" s="241"/>
      <c r="W24" s="241"/>
      <c r="X24" s="241"/>
      <c r="Y24" s="233">
        <f t="shared" si="12"/>
        <v>150000</v>
      </c>
      <c r="Z24" s="242">
        <v>113999.99999999999</v>
      </c>
      <c r="AA24" s="242"/>
      <c r="AB24" s="242"/>
      <c r="AC24" s="242">
        <v>114009.3085714286</v>
      </c>
      <c r="AD24" s="222"/>
      <c r="AG24" s="343"/>
      <c r="AH24" s="343"/>
    </row>
    <row r="25" spans="1:34" ht="20.100000000000001" customHeight="1" outlineLevel="1">
      <c r="A25" s="214" t="s">
        <v>309</v>
      </c>
      <c r="B25" s="211" t="s">
        <v>115</v>
      </c>
      <c r="C25" s="236">
        <v>26250</v>
      </c>
      <c r="D25" s="236">
        <v>123750</v>
      </c>
      <c r="E25" s="225">
        <v>150000</v>
      </c>
      <c r="F25" s="237"/>
      <c r="G25" s="227">
        <v>150000</v>
      </c>
      <c r="H25" s="225">
        <v>18</v>
      </c>
      <c r="I25" s="225">
        <v>18</v>
      </c>
      <c r="J25" s="228">
        <v>26250</v>
      </c>
      <c r="K25" s="228">
        <v>5250</v>
      </c>
      <c r="L25" s="228">
        <v>15095.64</v>
      </c>
      <c r="M25" s="239"/>
      <c r="N25" s="240">
        <v>46595.64</v>
      </c>
      <c r="O25" s="230">
        <v>5875</v>
      </c>
      <c r="P25" s="230">
        <v>6661</v>
      </c>
      <c r="Q25" s="240">
        <v>34059.64</v>
      </c>
      <c r="R25" s="340">
        <v>85.714285714289872</v>
      </c>
      <c r="S25" s="229">
        <v>118500</v>
      </c>
      <c r="T25" s="232">
        <v>0</v>
      </c>
      <c r="U25" s="240">
        <f t="shared" si="11"/>
        <v>118500</v>
      </c>
      <c r="V25" s="241"/>
      <c r="W25" s="241"/>
      <c r="X25" s="241"/>
      <c r="Y25" s="233">
        <f t="shared" si="12"/>
        <v>165095.64000000001</v>
      </c>
      <c r="Z25" s="242">
        <v>118500.00000000001</v>
      </c>
      <c r="AA25" s="242"/>
      <c r="AB25" s="242"/>
      <c r="AC25" s="242">
        <v>118585.7142857143</v>
      </c>
      <c r="AD25" s="222"/>
      <c r="AG25" s="343"/>
      <c r="AH25" s="343"/>
    </row>
    <row r="26" spans="1:34" ht="20.100000000000001" customHeight="1" outlineLevel="1">
      <c r="A26" s="214" t="s">
        <v>306</v>
      </c>
      <c r="B26" s="211" t="s">
        <v>383</v>
      </c>
      <c r="C26" s="236">
        <v>26250</v>
      </c>
      <c r="D26" s="236">
        <v>53750</v>
      </c>
      <c r="E26" s="225">
        <v>80000</v>
      </c>
      <c r="F26" s="237">
        <v>0</v>
      </c>
      <c r="G26" s="227">
        <v>80000</v>
      </c>
      <c r="H26" s="225">
        <v>18</v>
      </c>
      <c r="I26" s="225">
        <v>18</v>
      </c>
      <c r="J26" s="228">
        <v>26250</v>
      </c>
      <c r="K26" s="228">
        <v>5250</v>
      </c>
      <c r="L26" s="228">
        <v>0</v>
      </c>
      <c r="M26" s="239"/>
      <c r="N26" s="240">
        <v>31500</v>
      </c>
      <c r="O26" s="230">
        <v>3549</v>
      </c>
      <c r="P26" s="230">
        <v>4440.66</v>
      </c>
      <c r="Q26" s="240">
        <v>23510.34</v>
      </c>
      <c r="R26" s="340">
        <v>28.571428571420256</v>
      </c>
      <c r="S26" s="229">
        <v>48500</v>
      </c>
      <c r="T26" s="232">
        <f>мех!R26</f>
        <v>97500</v>
      </c>
      <c r="U26" s="240">
        <f t="shared" si="11"/>
        <v>146000</v>
      </c>
      <c r="V26" s="241"/>
      <c r="W26" s="241"/>
      <c r="X26" s="241"/>
      <c r="Y26" s="233">
        <f t="shared" si="12"/>
        <v>177500</v>
      </c>
      <c r="Z26" s="242">
        <v>48500</v>
      </c>
      <c r="AA26" s="242"/>
      <c r="AB26" s="242"/>
      <c r="AC26" s="242">
        <v>48528.57142857142</v>
      </c>
      <c r="AD26" s="222"/>
      <c r="AG26" s="343"/>
      <c r="AH26" s="343"/>
    </row>
    <row r="27" spans="1:34" ht="20.100000000000001" customHeight="1" outlineLevel="1">
      <c r="A27" s="214" t="s">
        <v>317</v>
      </c>
      <c r="B27" s="211" t="s">
        <v>318</v>
      </c>
      <c r="C27" s="236">
        <v>26250</v>
      </c>
      <c r="D27" s="236">
        <v>53750</v>
      </c>
      <c r="E27" s="225">
        <v>80000</v>
      </c>
      <c r="F27" s="237">
        <v>40000</v>
      </c>
      <c r="G27" s="227">
        <v>120000</v>
      </c>
      <c r="H27" s="225">
        <v>18</v>
      </c>
      <c r="I27" s="225">
        <v>18</v>
      </c>
      <c r="J27" s="228">
        <v>26250</v>
      </c>
      <c r="K27" s="228">
        <v>5250</v>
      </c>
      <c r="L27" s="228">
        <v>0</v>
      </c>
      <c r="M27" s="239"/>
      <c r="N27" s="240">
        <v>31500</v>
      </c>
      <c r="O27" s="230">
        <v>4095</v>
      </c>
      <c r="P27" s="230">
        <v>8881.33</v>
      </c>
      <c r="Q27" s="240">
        <v>18523.669999999998</v>
      </c>
      <c r="R27" s="340">
        <v>0.79000000000814907</v>
      </c>
      <c r="S27" s="229">
        <v>48500</v>
      </c>
      <c r="T27" s="232">
        <v>40000</v>
      </c>
      <c r="U27" s="240">
        <f t="shared" si="11"/>
        <v>88500</v>
      </c>
      <c r="V27" s="241"/>
      <c r="W27" s="241"/>
      <c r="X27" s="241"/>
      <c r="Y27" s="233">
        <f t="shared" si="12"/>
        <v>120000</v>
      </c>
      <c r="Z27" s="242">
        <v>88500</v>
      </c>
      <c r="AA27" s="242"/>
      <c r="AB27" s="242"/>
      <c r="AC27" s="242">
        <v>88500.790000000008</v>
      </c>
      <c r="AD27" s="222"/>
      <c r="AG27" s="343"/>
      <c r="AH27" s="343"/>
    </row>
    <row r="28" spans="1:34" ht="20.100000000000001" customHeight="1" outlineLevel="1">
      <c r="A28" s="214" t="s">
        <v>306</v>
      </c>
      <c r="B28" s="211" t="s">
        <v>319</v>
      </c>
      <c r="C28" s="236">
        <v>26250</v>
      </c>
      <c r="D28" s="236">
        <v>53750</v>
      </c>
      <c r="E28" s="225">
        <v>80000</v>
      </c>
      <c r="F28" s="237">
        <v>0</v>
      </c>
      <c r="G28" s="227">
        <v>80000</v>
      </c>
      <c r="H28" s="225">
        <v>18</v>
      </c>
      <c r="I28" s="225">
        <v>18</v>
      </c>
      <c r="J28" s="228">
        <v>26250</v>
      </c>
      <c r="K28" s="228">
        <v>5250</v>
      </c>
      <c r="L28" s="228">
        <v>0</v>
      </c>
      <c r="M28" s="239"/>
      <c r="N28" s="240">
        <v>31500</v>
      </c>
      <c r="O28" s="230">
        <v>3549</v>
      </c>
      <c r="P28" s="230">
        <v>5921.18</v>
      </c>
      <c r="Q28" s="240">
        <v>22029.82</v>
      </c>
      <c r="R28" s="340">
        <v>84.447619047685293</v>
      </c>
      <c r="S28" s="229">
        <v>48500</v>
      </c>
      <c r="T28" s="232">
        <f>мех!R27</f>
        <v>172620</v>
      </c>
      <c r="U28" s="240">
        <f t="shared" si="11"/>
        <v>221120</v>
      </c>
      <c r="V28" s="241"/>
      <c r="W28" s="241"/>
      <c r="X28" s="241">
        <f>мех!T27</f>
        <v>4000</v>
      </c>
      <c r="Y28" s="233">
        <f t="shared" si="12"/>
        <v>252620</v>
      </c>
      <c r="Z28" s="242">
        <v>48500.000000000007</v>
      </c>
      <c r="AA28" s="242"/>
      <c r="AB28" s="242"/>
      <c r="AC28" s="242">
        <v>48584.447619047693</v>
      </c>
      <c r="AD28" s="222"/>
      <c r="AG28" s="343"/>
      <c r="AH28" s="343"/>
    </row>
    <row r="29" spans="1:34" ht="20.100000000000001" customHeight="1" outlineLevel="1">
      <c r="A29" s="214" t="s">
        <v>304</v>
      </c>
      <c r="B29" s="211" t="s">
        <v>321</v>
      </c>
      <c r="C29" s="236">
        <v>23630</v>
      </c>
      <c r="D29" s="236">
        <v>21370</v>
      </c>
      <c r="E29" s="225">
        <v>45000</v>
      </c>
      <c r="F29" s="237">
        <v>35000</v>
      </c>
      <c r="G29" s="227">
        <v>80000</v>
      </c>
      <c r="H29" s="225">
        <v>18</v>
      </c>
      <c r="I29" s="225">
        <v>18</v>
      </c>
      <c r="J29" s="228">
        <v>12602.67</v>
      </c>
      <c r="K29" s="228">
        <v>2520.5300000000002</v>
      </c>
      <c r="L29" s="228">
        <v>0</v>
      </c>
      <c r="M29" s="239"/>
      <c r="N29" s="240">
        <v>15123.2</v>
      </c>
      <c r="O29" s="230">
        <v>0</v>
      </c>
      <c r="P29" s="230">
        <v>0</v>
      </c>
      <c r="Q29" s="240">
        <v>15123.2</v>
      </c>
      <c r="R29" s="340">
        <v>69.700438820837007</v>
      </c>
      <c r="S29" s="229">
        <v>17600.25</v>
      </c>
      <c r="T29" s="232">
        <v>35000</v>
      </c>
      <c r="U29" s="240">
        <f t="shared" si="11"/>
        <v>52600.25</v>
      </c>
      <c r="V29" s="241"/>
      <c r="W29" s="241"/>
      <c r="X29" s="241"/>
      <c r="Y29" s="233">
        <f t="shared" si="12"/>
        <v>67723.45</v>
      </c>
      <c r="Z29" s="242">
        <v>52600.25</v>
      </c>
      <c r="AA29" s="242"/>
      <c r="AB29" s="242"/>
      <c r="AC29" s="242">
        <v>52669.950438820837</v>
      </c>
      <c r="AD29" s="222"/>
      <c r="AG29" s="343"/>
      <c r="AH29" s="343"/>
    </row>
    <row r="30" spans="1:34" ht="19.899999999999999" customHeight="1" outlineLevel="1">
      <c r="A30" s="214" t="s">
        <v>312</v>
      </c>
      <c r="B30" s="211" t="s">
        <v>385</v>
      </c>
      <c r="C30" s="236">
        <v>29400</v>
      </c>
      <c r="D30" s="236">
        <v>80600</v>
      </c>
      <c r="E30" s="225">
        <v>110000</v>
      </c>
      <c r="F30" s="237">
        <v>0</v>
      </c>
      <c r="G30" s="227">
        <v>110000</v>
      </c>
      <c r="H30" s="225">
        <v>18</v>
      </c>
      <c r="I30" s="225">
        <v>13</v>
      </c>
      <c r="J30" s="228">
        <v>21233.33</v>
      </c>
      <c r="K30" s="228">
        <v>4246.67</v>
      </c>
      <c r="L30" s="228">
        <v>0</v>
      </c>
      <c r="M30" s="239"/>
      <c r="N30" s="240">
        <v>25480</v>
      </c>
      <c r="O30" s="230">
        <v>3312</v>
      </c>
      <c r="P30" s="230">
        <v>2841.67</v>
      </c>
      <c r="Q30" s="240">
        <v>19326.330000000002</v>
      </c>
      <c r="R30" s="340">
        <v>0</v>
      </c>
      <c r="S30" s="229">
        <v>53964.441111111111</v>
      </c>
      <c r="T30" s="232">
        <v>0</v>
      </c>
      <c r="U30" s="240">
        <f t="shared" si="11"/>
        <v>53964.441111111111</v>
      </c>
      <c r="V30" s="241"/>
      <c r="W30" s="241"/>
      <c r="X30" s="241"/>
      <c r="Y30" s="233">
        <f t="shared" si="12"/>
        <v>79444.441111111111</v>
      </c>
      <c r="Z30" s="242">
        <v>53964.441111111111</v>
      </c>
      <c r="AA30" s="242"/>
      <c r="AB30" s="242"/>
      <c r="AC30" s="242">
        <v>53964.441111111111</v>
      </c>
      <c r="AD30" s="222"/>
      <c r="AG30" s="343"/>
      <c r="AH30" s="343"/>
    </row>
    <row r="31" spans="1:34" ht="20.100000000000001" customHeight="1" outlineLevel="1">
      <c r="A31" s="214" t="s">
        <v>323</v>
      </c>
      <c r="B31" s="211" t="s">
        <v>156</v>
      </c>
      <c r="C31" s="236">
        <v>22500</v>
      </c>
      <c r="D31" s="236">
        <v>22500</v>
      </c>
      <c r="E31" s="225">
        <v>45000</v>
      </c>
      <c r="F31" s="237">
        <v>35000</v>
      </c>
      <c r="G31" s="227">
        <v>80000</v>
      </c>
      <c r="H31" s="225">
        <v>18</v>
      </c>
      <c r="I31" s="225">
        <v>18</v>
      </c>
      <c r="J31" s="228">
        <v>22500</v>
      </c>
      <c r="K31" s="228">
        <v>4500</v>
      </c>
      <c r="L31" s="228">
        <v>0</v>
      </c>
      <c r="M31" s="239"/>
      <c r="N31" s="240">
        <v>27000</v>
      </c>
      <c r="O31" s="230">
        <v>3328</v>
      </c>
      <c r="P31" s="230">
        <v>7612</v>
      </c>
      <c r="Q31" s="240">
        <v>16060</v>
      </c>
      <c r="R31" s="340">
        <v>54.725319693076017</v>
      </c>
      <c r="S31" s="229">
        <v>18000</v>
      </c>
      <c r="T31" s="232">
        <v>35000</v>
      </c>
      <c r="U31" s="240">
        <f t="shared" si="11"/>
        <v>53000</v>
      </c>
      <c r="V31" s="241"/>
      <c r="W31" s="241"/>
      <c r="X31" s="241"/>
      <c r="Y31" s="233">
        <f t="shared" si="12"/>
        <v>80000</v>
      </c>
      <c r="Z31" s="242">
        <v>53000</v>
      </c>
      <c r="AA31" s="242"/>
      <c r="AB31" s="242"/>
      <c r="AC31" s="242">
        <v>53054.725319693076</v>
      </c>
      <c r="AD31" s="222"/>
      <c r="AG31" s="343"/>
      <c r="AH31" s="343"/>
    </row>
    <row r="32" spans="1:34" ht="20.100000000000001" customHeight="1" outlineLevel="1">
      <c r="A32" s="214" t="s">
        <v>323</v>
      </c>
      <c r="B32" s="211" t="s">
        <v>208</v>
      </c>
      <c r="C32" s="236">
        <v>22500</v>
      </c>
      <c r="D32" s="236">
        <v>22500</v>
      </c>
      <c r="E32" s="225">
        <v>45000</v>
      </c>
      <c r="F32" s="237">
        <v>35000</v>
      </c>
      <c r="G32" s="227">
        <v>80000</v>
      </c>
      <c r="H32" s="225">
        <v>18</v>
      </c>
      <c r="I32" s="225">
        <v>18</v>
      </c>
      <c r="J32" s="228">
        <v>10000</v>
      </c>
      <c r="K32" s="228">
        <v>2000</v>
      </c>
      <c r="L32" s="228">
        <v>12428.36</v>
      </c>
      <c r="M32" s="239"/>
      <c r="N32" s="240">
        <v>24428.36</v>
      </c>
      <c r="O32" s="230">
        <v>2629</v>
      </c>
      <c r="P32" s="230">
        <v>7612</v>
      </c>
      <c r="Q32" s="240">
        <v>14187.36</v>
      </c>
      <c r="R32" s="340">
        <v>1.7203312629208085</v>
      </c>
      <c r="S32" s="229">
        <v>20571.64</v>
      </c>
      <c r="T32" s="232">
        <v>35000</v>
      </c>
      <c r="U32" s="240">
        <f t="shared" si="11"/>
        <v>55571.64</v>
      </c>
      <c r="V32" s="241"/>
      <c r="W32" s="241"/>
      <c r="X32" s="241"/>
      <c r="Y32" s="233">
        <f t="shared" si="12"/>
        <v>80000</v>
      </c>
      <c r="Z32" s="242">
        <v>55571.64</v>
      </c>
      <c r="AA32" s="242"/>
      <c r="AB32" s="242"/>
      <c r="AC32" s="242">
        <v>55573.36033126292</v>
      </c>
      <c r="AD32" s="222"/>
      <c r="AG32" s="343"/>
      <c r="AH32" s="343"/>
    </row>
    <row r="33" spans="1:34" ht="20.100000000000001" customHeight="1" outlineLevel="1">
      <c r="A33" s="252"/>
      <c r="B33" s="253" t="s">
        <v>324</v>
      </c>
      <c r="C33" s="244">
        <f>SUM(C34:C44)</f>
        <v>208375</v>
      </c>
      <c r="D33" s="244">
        <f t="shared" ref="D33:AC33" si="13">SUM(D34:D44)</f>
        <v>230750</v>
      </c>
      <c r="E33" s="244">
        <f t="shared" si="13"/>
        <v>439125</v>
      </c>
      <c r="F33" s="244">
        <f t="shared" si="13"/>
        <v>165000</v>
      </c>
      <c r="G33" s="244">
        <f t="shared" si="13"/>
        <v>604125</v>
      </c>
      <c r="H33" s="244">
        <f t="shared" si="13"/>
        <v>198</v>
      </c>
      <c r="I33" s="244">
        <f t="shared" si="13"/>
        <v>122</v>
      </c>
      <c r="J33" s="244">
        <f t="shared" si="13"/>
        <v>137598.72</v>
      </c>
      <c r="K33" s="244">
        <f t="shared" si="13"/>
        <v>22650</v>
      </c>
      <c r="L33" s="244">
        <f t="shared" si="13"/>
        <v>50716.04</v>
      </c>
      <c r="M33" s="244">
        <f t="shared" si="13"/>
        <v>0</v>
      </c>
      <c r="N33" s="244">
        <f t="shared" si="13"/>
        <v>210964.76</v>
      </c>
      <c r="O33" s="244">
        <f t="shared" si="13"/>
        <v>26281</v>
      </c>
      <c r="P33" s="244">
        <f t="shared" si="13"/>
        <v>84054.420000000013</v>
      </c>
      <c r="Q33" s="244">
        <f t="shared" si="13"/>
        <v>100629.34</v>
      </c>
      <c r="R33" s="244">
        <f t="shared" si="13"/>
        <v>455.88157117399805</v>
      </c>
      <c r="S33" s="244">
        <f t="shared" si="13"/>
        <v>159313.09555555557</v>
      </c>
      <c r="T33" s="244">
        <f t="shared" si="13"/>
        <v>140000</v>
      </c>
      <c r="U33" s="244">
        <f t="shared" si="13"/>
        <v>299313.09555555554</v>
      </c>
      <c r="V33" s="244">
        <f t="shared" si="13"/>
        <v>0</v>
      </c>
      <c r="W33" s="244">
        <f t="shared" si="13"/>
        <v>0</v>
      </c>
      <c r="X33" s="244">
        <f t="shared" si="13"/>
        <v>0</v>
      </c>
      <c r="Y33" s="244">
        <f>SUM(Y34:Y44)</f>
        <v>510277.85555555561</v>
      </c>
      <c r="Z33" s="244">
        <f t="shared" si="13"/>
        <v>299313.09555555554</v>
      </c>
      <c r="AA33" s="244">
        <f t="shared" si="13"/>
        <v>23300</v>
      </c>
      <c r="AB33" s="244">
        <f t="shared" si="13"/>
        <v>15000</v>
      </c>
      <c r="AC33" s="244">
        <f t="shared" si="13"/>
        <v>261468.97712672956</v>
      </c>
      <c r="AD33" s="222"/>
      <c r="AG33" s="343"/>
      <c r="AH33" s="343"/>
    </row>
    <row r="34" spans="1:34" ht="20.100000000000001" customHeight="1" outlineLevel="1">
      <c r="A34" s="214"/>
      <c r="B34" s="211" t="s">
        <v>326</v>
      </c>
      <c r="C34" s="236"/>
      <c r="D34" s="236"/>
      <c r="E34" s="225"/>
      <c r="F34" s="237"/>
      <c r="G34" s="227"/>
      <c r="H34" s="225">
        <v>18</v>
      </c>
      <c r="I34" s="225">
        <v>0</v>
      </c>
      <c r="J34" s="228">
        <v>0</v>
      </c>
      <c r="K34" s="228">
        <v>0</v>
      </c>
      <c r="L34" s="228">
        <v>0</v>
      </c>
      <c r="M34" s="239"/>
      <c r="N34" s="240">
        <v>0</v>
      </c>
      <c r="O34" s="230">
        <v>0</v>
      </c>
      <c r="P34" s="230">
        <v>0</v>
      </c>
      <c r="Q34" s="240">
        <v>0</v>
      </c>
      <c r="R34" s="340">
        <v>13.470000000012078</v>
      </c>
      <c r="S34" s="229">
        <v>0</v>
      </c>
      <c r="T34" s="232"/>
      <c r="U34" s="240">
        <v>0</v>
      </c>
      <c r="V34" s="241"/>
      <c r="W34" s="241"/>
      <c r="X34" s="241"/>
      <c r="Y34" s="233">
        <v>0</v>
      </c>
      <c r="Z34" s="242">
        <v>0</v>
      </c>
      <c r="AA34" s="242"/>
      <c r="AB34" s="242"/>
      <c r="AC34" s="242">
        <v>13.470000000012078</v>
      </c>
      <c r="AD34" s="222"/>
      <c r="AG34" s="343"/>
      <c r="AH34" s="343"/>
    </row>
    <row r="35" spans="1:34" ht="20.100000000000001" customHeight="1" outlineLevel="1">
      <c r="A35" s="214" t="s">
        <v>325</v>
      </c>
      <c r="B35" s="211" t="s">
        <v>381</v>
      </c>
      <c r="C35" s="236">
        <v>22500</v>
      </c>
      <c r="D35" s="236">
        <v>27500</v>
      </c>
      <c r="E35" s="225">
        <v>50000</v>
      </c>
      <c r="F35" s="237">
        <v>15000</v>
      </c>
      <c r="G35" s="227">
        <v>65000</v>
      </c>
      <c r="H35" s="225">
        <v>18</v>
      </c>
      <c r="I35" s="225">
        <v>18</v>
      </c>
      <c r="J35" s="228">
        <v>23602.04</v>
      </c>
      <c r="K35" s="228">
        <v>4500</v>
      </c>
      <c r="L35" s="228">
        <v>0</v>
      </c>
      <c r="M35" s="239"/>
      <c r="N35" s="240">
        <v>28102.04</v>
      </c>
      <c r="O35" s="230">
        <v>3653</v>
      </c>
      <c r="P35" s="230">
        <v>10747.04</v>
      </c>
      <c r="Q35" s="240">
        <v>13702</v>
      </c>
      <c r="R35" s="340">
        <v>21.160000000003492</v>
      </c>
      <c r="S35" s="229">
        <v>23000</v>
      </c>
      <c r="T35" s="232">
        <v>15000</v>
      </c>
      <c r="U35" s="240">
        <v>38000</v>
      </c>
      <c r="V35" s="241"/>
      <c r="W35" s="241"/>
      <c r="X35" s="241"/>
      <c r="Y35" s="233">
        <v>66102.040000000008</v>
      </c>
      <c r="Z35" s="242">
        <v>38000.000000000007</v>
      </c>
      <c r="AA35" s="242"/>
      <c r="AB35" s="242"/>
      <c r="AC35" s="242">
        <v>38021.160000000011</v>
      </c>
      <c r="AD35" s="222"/>
      <c r="AG35" s="343"/>
      <c r="AH35" s="343"/>
    </row>
    <row r="36" spans="1:34" ht="20.100000000000001" customHeight="1" outlineLevel="1">
      <c r="A36" s="214"/>
      <c r="B36" s="211" t="s">
        <v>327</v>
      </c>
      <c r="C36" s="236"/>
      <c r="D36" s="236"/>
      <c r="E36" s="225"/>
      <c r="F36" s="237"/>
      <c r="G36" s="227">
        <v>0</v>
      </c>
      <c r="H36" s="225">
        <v>18</v>
      </c>
      <c r="I36" s="225"/>
      <c r="J36" s="228"/>
      <c r="K36" s="228"/>
      <c r="L36" s="228"/>
      <c r="M36" s="239"/>
      <c r="N36" s="240">
        <v>0</v>
      </c>
      <c r="O36" s="230"/>
      <c r="P36" s="230"/>
      <c r="Q36" s="240">
        <v>0</v>
      </c>
      <c r="R36" s="340">
        <v>46.753246753251005</v>
      </c>
      <c r="S36" s="229">
        <v>0</v>
      </c>
      <c r="T36" s="232">
        <v>0</v>
      </c>
      <c r="U36" s="240">
        <v>0</v>
      </c>
      <c r="V36" s="241"/>
      <c r="W36" s="241"/>
      <c r="X36" s="241"/>
      <c r="Y36" s="233">
        <v>0</v>
      </c>
      <c r="Z36" s="242">
        <v>0</v>
      </c>
      <c r="AA36" s="242"/>
      <c r="AB36" s="242"/>
      <c r="AC36" s="242">
        <v>46.753246753251005</v>
      </c>
      <c r="AD36" s="222"/>
      <c r="AG36" s="343"/>
      <c r="AH36" s="343"/>
    </row>
    <row r="37" spans="1:34" s="243" customFormat="1" ht="20.100000000000001" customHeight="1" outlineLevel="1">
      <c r="A37" s="214" t="s">
        <v>325</v>
      </c>
      <c r="B37" s="211" t="s">
        <v>328</v>
      </c>
      <c r="C37" s="236">
        <v>22500</v>
      </c>
      <c r="D37" s="236">
        <v>31250</v>
      </c>
      <c r="E37" s="225">
        <v>53750</v>
      </c>
      <c r="F37" s="237">
        <v>10000</v>
      </c>
      <c r="G37" s="227">
        <v>63750</v>
      </c>
      <c r="H37" s="225">
        <v>18</v>
      </c>
      <c r="I37" s="225">
        <v>18</v>
      </c>
      <c r="J37" s="228">
        <v>13602.14</v>
      </c>
      <c r="K37" s="228">
        <v>2500</v>
      </c>
      <c r="L37" s="228">
        <v>12936.14</v>
      </c>
      <c r="M37" s="239"/>
      <c r="N37" s="240">
        <v>29038.28</v>
      </c>
      <c r="O37" s="230">
        <v>3775</v>
      </c>
      <c r="P37" s="230">
        <v>9224.0400000000009</v>
      </c>
      <c r="Q37" s="240">
        <v>16039.239999999998</v>
      </c>
      <c r="R37" s="340">
        <v>76.293529411770578</v>
      </c>
      <c r="S37" s="229">
        <v>42480.526666666672</v>
      </c>
      <c r="T37" s="232">
        <v>10000</v>
      </c>
      <c r="U37" s="240">
        <v>52480.526666666672</v>
      </c>
      <c r="V37" s="241"/>
      <c r="W37" s="241"/>
      <c r="X37" s="241"/>
      <c r="Y37" s="233">
        <v>81518.806666666671</v>
      </c>
      <c r="Z37" s="242">
        <v>52480.526666666665</v>
      </c>
      <c r="AA37" s="242"/>
      <c r="AB37" s="242"/>
      <c r="AC37" s="242">
        <v>52556.820196078435</v>
      </c>
      <c r="AD37" s="222"/>
      <c r="AG37" s="343"/>
      <c r="AH37" s="343"/>
    </row>
    <row r="38" spans="1:34" ht="20.100000000000001" customHeight="1" outlineLevel="1">
      <c r="A38" s="214" t="s">
        <v>329</v>
      </c>
      <c r="B38" s="211" t="s">
        <v>330</v>
      </c>
      <c r="C38" s="236">
        <v>25875</v>
      </c>
      <c r="D38" s="236">
        <v>9500</v>
      </c>
      <c r="E38" s="225">
        <v>35375</v>
      </c>
      <c r="F38" s="237">
        <v>60000</v>
      </c>
      <c r="G38" s="227">
        <v>95375</v>
      </c>
      <c r="H38" s="225">
        <v>18</v>
      </c>
      <c r="I38" s="225">
        <v>18</v>
      </c>
      <c r="J38" s="228">
        <v>25875</v>
      </c>
      <c r="K38" s="228">
        <v>4500</v>
      </c>
      <c r="L38" s="228">
        <v>0</v>
      </c>
      <c r="M38" s="239"/>
      <c r="N38" s="240">
        <v>30375</v>
      </c>
      <c r="O38" s="230">
        <v>3168</v>
      </c>
      <c r="P38" s="230">
        <v>8754.5</v>
      </c>
      <c r="Q38" s="240">
        <v>18452.5</v>
      </c>
      <c r="R38" s="340">
        <v>84.160000000010768</v>
      </c>
      <c r="S38" s="229">
        <v>5000</v>
      </c>
      <c r="T38" s="232">
        <v>60000</v>
      </c>
      <c r="U38" s="240">
        <v>65000</v>
      </c>
      <c r="V38" s="241"/>
      <c r="W38" s="241"/>
      <c r="X38" s="241"/>
      <c r="Y38" s="233">
        <v>95375</v>
      </c>
      <c r="Z38" s="242">
        <v>65000</v>
      </c>
      <c r="AA38" s="242"/>
      <c r="AB38" s="242"/>
      <c r="AC38" s="242">
        <v>65084.160000000011</v>
      </c>
      <c r="AD38" s="222"/>
      <c r="AG38" s="343"/>
      <c r="AH38" s="343"/>
    </row>
    <row r="39" spans="1:34" ht="20.100000000000001" customHeight="1" outlineLevel="1">
      <c r="A39" s="214" t="s">
        <v>325</v>
      </c>
      <c r="B39" s="211" t="s">
        <v>331</v>
      </c>
      <c r="C39" s="236">
        <v>22500</v>
      </c>
      <c r="D39" s="236">
        <v>27500</v>
      </c>
      <c r="E39" s="225">
        <v>50000</v>
      </c>
      <c r="F39" s="237">
        <v>15000</v>
      </c>
      <c r="G39" s="227">
        <v>65000</v>
      </c>
      <c r="H39" s="225">
        <v>18</v>
      </c>
      <c r="I39" s="225">
        <v>18</v>
      </c>
      <c r="J39" s="228">
        <v>17245.89</v>
      </c>
      <c r="K39" s="228">
        <v>3000</v>
      </c>
      <c r="L39" s="228">
        <v>0</v>
      </c>
      <c r="M39" s="239"/>
      <c r="N39" s="240">
        <v>20245.89</v>
      </c>
      <c r="O39" s="230">
        <v>2268</v>
      </c>
      <c r="P39" s="230">
        <v>8156</v>
      </c>
      <c r="Q39" s="240">
        <v>9821.89</v>
      </c>
      <c r="R39" s="340">
        <v>68.873636363648984</v>
      </c>
      <c r="S39" s="229">
        <v>24500</v>
      </c>
      <c r="T39" s="232">
        <v>15000</v>
      </c>
      <c r="U39" s="240">
        <v>39500</v>
      </c>
      <c r="V39" s="241"/>
      <c r="W39" s="241"/>
      <c r="X39" s="241"/>
      <c r="Y39" s="233">
        <v>59745.89</v>
      </c>
      <c r="Z39" s="242">
        <v>39500</v>
      </c>
      <c r="AA39" s="242"/>
      <c r="AB39" s="242"/>
      <c r="AC39" s="242">
        <v>39568.873636363649</v>
      </c>
      <c r="AD39" s="222"/>
      <c r="AG39" s="343"/>
      <c r="AH39" s="343"/>
    </row>
    <row r="40" spans="1:34" ht="20.100000000000001" customHeight="1" outlineLevel="1">
      <c r="A40" s="214" t="s">
        <v>325</v>
      </c>
      <c r="B40" s="211" t="s">
        <v>332</v>
      </c>
      <c r="C40" s="236">
        <v>22500</v>
      </c>
      <c r="D40" s="236">
        <v>27500</v>
      </c>
      <c r="E40" s="225">
        <v>50000</v>
      </c>
      <c r="F40" s="237">
        <v>15000</v>
      </c>
      <c r="G40" s="227">
        <v>65000</v>
      </c>
      <c r="H40" s="225">
        <v>18</v>
      </c>
      <c r="I40" s="225">
        <v>0</v>
      </c>
      <c r="J40" s="228">
        <v>2171.61</v>
      </c>
      <c r="K40" s="228">
        <v>0</v>
      </c>
      <c r="L40" s="228">
        <v>0</v>
      </c>
      <c r="M40" s="239"/>
      <c r="N40" s="240">
        <v>2171.61</v>
      </c>
      <c r="O40" s="230">
        <v>282</v>
      </c>
      <c r="P40" s="230">
        <v>0</v>
      </c>
      <c r="Q40" s="240">
        <v>1889.6100000000001</v>
      </c>
      <c r="R40" s="340">
        <v>20.175966386573236</v>
      </c>
      <c r="S40" s="229">
        <v>0</v>
      </c>
      <c r="T40" s="232">
        <v>0</v>
      </c>
      <c r="U40" s="240">
        <v>0</v>
      </c>
      <c r="V40" s="241"/>
      <c r="W40" s="241"/>
      <c r="X40" s="241"/>
      <c r="Y40" s="233">
        <v>2171.61</v>
      </c>
      <c r="Z40" s="242">
        <v>0</v>
      </c>
      <c r="AA40" s="242"/>
      <c r="AB40" s="242"/>
      <c r="AC40" s="242">
        <v>20.175966386573236</v>
      </c>
      <c r="AD40" s="222"/>
      <c r="AG40" s="343"/>
      <c r="AH40" s="343"/>
    </row>
    <row r="41" spans="1:34" ht="20.100000000000001" customHeight="1" outlineLevel="1">
      <c r="A41" s="214" t="s">
        <v>325</v>
      </c>
      <c r="B41" s="211" t="s">
        <v>386</v>
      </c>
      <c r="C41" s="236">
        <v>22500</v>
      </c>
      <c r="D41" s="236">
        <v>27500</v>
      </c>
      <c r="E41" s="225">
        <v>50000</v>
      </c>
      <c r="F41" s="237"/>
      <c r="G41" s="227">
        <v>50000</v>
      </c>
      <c r="H41" s="225">
        <v>18</v>
      </c>
      <c r="I41" s="225">
        <v>4</v>
      </c>
      <c r="J41" s="228">
        <v>4500</v>
      </c>
      <c r="K41" s="228">
        <v>900</v>
      </c>
      <c r="L41" s="228"/>
      <c r="M41" s="239"/>
      <c r="N41" s="240">
        <v>5400</v>
      </c>
      <c r="O41" s="230">
        <v>702</v>
      </c>
      <c r="P41" s="230">
        <v>0</v>
      </c>
      <c r="Q41" s="240">
        <v>4698</v>
      </c>
      <c r="R41" s="340">
        <v>0</v>
      </c>
      <c r="S41" s="229">
        <v>5811.1111111111113</v>
      </c>
      <c r="T41" s="232">
        <v>0</v>
      </c>
      <c r="U41" s="240">
        <v>5811.1111111111113</v>
      </c>
      <c r="V41" s="241"/>
      <c r="W41" s="241"/>
      <c r="X41" s="241"/>
      <c r="Y41" s="233">
        <v>11211.111111111111</v>
      </c>
      <c r="Z41" s="242">
        <v>5811.1111111111113</v>
      </c>
      <c r="AA41" s="242"/>
      <c r="AB41" s="242"/>
      <c r="AC41" s="242">
        <v>5811.1111111111113</v>
      </c>
      <c r="AD41" s="222"/>
      <c r="AG41" s="343"/>
      <c r="AH41" s="343"/>
    </row>
    <row r="42" spans="1:34" ht="20.100000000000001" customHeight="1" outlineLevel="1">
      <c r="A42" s="214" t="s">
        <v>333</v>
      </c>
      <c r="B42" s="211" t="s">
        <v>334</v>
      </c>
      <c r="C42" s="236">
        <v>25000</v>
      </c>
      <c r="D42" s="236">
        <v>25000</v>
      </c>
      <c r="E42" s="225">
        <v>50000</v>
      </c>
      <c r="F42" s="237">
        <v>25000</v>
      </c>
      <c r="G42" s="227">
        <v>75000</v>
      </c>
      <c r="H42" s="225">
        <v>18</v>
      </c>
      <c r="I42" s="225">
        <v>18</v>
      </c>
      <c r="J42" s="228">
        <v>25000</v>
      </c>
      <c r="K42" s="228">
        <v>5000</v>
      </c>
      <c r="L42" s="228">
        <v>0</v>
      </c>
      <c r="M42" s="239"/>
      <c r="N42" s="240">
        <v>30000</v>
      </c>
      <c r="O42" s="230">
        <v>3900</v>
      </c>
      <c r="P42" s="230">
        <v>8458.2199999999993</v>
      </c>
      <c r="Q42" s="240">
        <v>17641.78</v>
      </c>
      <c r="R42" s="340">
        <v>0.30999999999039574</v>
      </c>
      <c r="S42" s="229">
        <v>20000</v>
      </c>
      <c r="T42" s="232">
        <v>25000</v>
      </c>
      <c r="U42" s="240">
        <v>45000</v>
      </c>
      <c r="V42" s="241"/>
      <c r="W42" s="241"/>
      <c r="X42" s="241"/>
      <c r="Y42" s="233">
        <v>75000</v>
      </c>
      <c r="Z42" s="242">
        <v>45000</v>
      </c>
      <c r="AA42" s="242"/>
      <c r="AB42" s="242"/>
      <c r="AC42" s="242">
        <v>45000.30999999999</v>
      </c>
      <c r="AD42" s="222"/>
      <c r="AG42" s="343"/>
      <c r="AH42" s="343"/>
    </row>
    <row r="43" spans="1:34" ht="20.100000000000001" customHeight="1" outlineLevel="1">
      <c r="A43" s="214" t="s">
        <v>325</v>
      </c>
      <c r="B43" s="211" t="s">
        <v>335</v>
      </c>
      <c r="C43" s="236">
        <v>22500</v>
      </c>
      <c r="D43" s="236">
        <v>27500</v>
      </c>
      <c r="E43" s="225">
        <v>50000</v>
      </c>
      <c r="F43" s="237">
        <v>15000</v>
      </c>
      <c r="G43" s="227">
        <v>65000</v>
      </c>
      <c r="H43" s="225">
        <v>18</v>
      </c>
      <c r="I43" s="225">
        <v>18</v>
      </c>
      <c r="J43" s="228">
        <v>12352.04</v>
      </c>
      <c r="K43" s="228">
        <v>2250</v>
      </c>
      <c r="L43" s="228">
        <v>13256.32</v>
      </c>
      <c r="M43" s="239"/>
      <c r="N43" s="240">
        <v>27858.36</v>
      </c>
      <c r="O43" s="230">
        <v>3622</v>
      </c>
      <c r="P43" s="230">
        <v>5852.04</v>
      </c>
      <c r="Q43" s="240">
        <v>18384.32</v>
      </c>
      <c r="R43" s="340">
        <v>65.492941176482418</v>
      </c>
      <c r="S43" s="229">
        <v>23243.68</v>
      </c>
      <c r="T43" s="232">
        <v>15000</v>
      </c>
      <c r="U43" s="240">
        <v>38243.68</v>
      </c>
      <c r="V43" s="241"/>
      <c r="W43" s="241"/>
      <c r="X43" s="241"/>
      <c r="Y43" s="233">
        <v>66102.040000000008</v>
      </c>
      <c r="Z43" s="242">
        <v>38243.680000000008</v>
      </c>
      <c r="AA43" s="342">
        <v>23300</v>
      </c>
      <c r="AB43" s="342">
        <v>15000</v>
      </c>
      <c r="AC43" s="242">
        <v>9.1729411764899851</v>
      </c>
      <c r="AD43" s="222"/>
      <c r="AG43" s="343"/>
      <c r="AH43" s="343"/>
    </row>
    <row r="44" spans="1:34" ht="20.100000000000001" customHeight="1" outlineLevel="1">
      <c r="A44" s="214" t="s">
        <v>325</v>
      </c>
      <c r="B44" s="211" t="s">
        <v>375</v>
      </c>
      <c r="C44" s="236">
        <v>22500</v>
      </c>
      <c r="D44" s="236">
        <v>27500</v>
      </c>
      <c r="E44" s="225">
        <v>50000</v>
      </c>
      <c r="F44" s="237">
        <v>10000</v>
      </c>
      <c r="G44" s="227">
        <v>60000</v>
      </c>
      <c r="H44" s="225">
        <v>18</v>
      </c>
      <c r="I44" s="225">
        <v>10</v>
      </c>
      <c r="J44" s="228">
        <v>13250</v>
      </c>
      <c r="K44" s="228">
        <v>0</v>
      </c>
      <c r="L44" s="228">
        <v>24523.58</v>
      </c>
      <c r="M44" s="239"/>
      <c r="N44" s="240">
        <v>37773.58</v>
      </c>
      <c r="O44" s="230">
        <v>4911</v>
      </c>
      <c r="P44" s="230">
        <v>32862.58</v>
      </c>
      <c r="Q44" s="240">
        <v>0</v>
      </c>
      <c r="R44" s="340">
        <v>59.192251082255098</v>
      </c>
      <c r="S44" s="229">
        <v>15277.777777777777</v>
      </c>
      <c r="T44" s="232">
        <v>0</v>
      </c>
      <c r="U44" s="240">
        <v>15277.777777777777</v>
      </c>
      <c r="V44" s="241"/>
      <c r="W44" s="241"/>
      <c r="X44" s="241"/>
      <c r="Y44" s="233">
        <v>53051.357777777783</v>
      </c>
      <c r="Z44" s="242">
        <v>15277.777777777781</v>
      </c>
      <c r="AA44" s="242"/>
      <c r="AB44" s="242"/>
      <c r="AC44" s="242">
        <v>15336.970028860036</v>
      </c>
      <c r="AD44" s="222"/>
      <c r="AG44" s="343"/>
      <c r="AH44" s="343"/>
    </row>
  </sheetData>
  <mergeCells count="21">
    <mergeCell ref="Y2:Y3"/>
    <mergeCell ref="B1:AD1"/>
    <mergeCell ref="A2:B2"/>
    <mergeCell ref="C2:E2"/>
    <mergeCell ref="F2:F3"/>
    <mergeCell ref="G2:G3"/>
    <mergeCell ref="H2:I2"/>
    <mergeCell ref="J2:N2"/>
    <mergeCell ref="O2:O3"/>
    <mergeCell ref="P2:P3"/>
    <mergeCell ref="Q2:Q3"/>
    <mergeCell ref="Z2:Z3"/>
    <mergeCell ref="AA2:AB3"/>
    <mergeCell ref="AC2:AC3"/>
    <mergeCell ref="AD2:AD3"/>
    <mergeCell ref="R2:R3"/>
    <mergeCell ref="A4:B4"/>
    <mergeCell ref="S2:U2"/>
    <mergeCell ref="V2:V3"/>
    <mergeCell ref="W2:W3"/>
    <mergeCell ref="X2:X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1"/>
  <sheetViews>
    <sheetView workbookViewId="0">
      <selection activeCell="A98" sqref="A98"/>
    </sheetView>
  </sheetViews>
  <sheetFormatPr defaultRowHeight="15"/>
  <cols>
    <col min="1" max="1" width="56.5703125" customWidth="1"/>
    <col min="2" max="2" width="12" customWidth="1"/>
    <col min="3" max="3" width="12.42578125" customWidth="1"/>
    <col min="4" max="4" width="12.28515625" customWidth="1"/>
    <col min="5" max="5" width="12.42578125" customWidth="1"/>
    <col min="6" max="8" width="11.28515625" customWidth="1"/>
  </cols>
  <sheetData>
    <row r="2" spans="1:8">
      <c r="A2" s="505" t="s">
        <v>270</v>
      </c>
      <c r="B2" s="507" t="s">
        <v>271</v>
      </c>
      <c r="C2" s="508"/>
      <c r="D2" s="508"/>
      <c r="E2" s="508"/>
      <c r="F2" s="509"/>
      <c r="G2" s="210"/>
      <c r="H2" s="210"/>
    </row>
    <row r="3" spans="1:8">
      <c r="A3" s="506"/>
      <c r="B3" s="2" t="s">
        <v>265</v>
      </c>
      <c r="C3" s="2" t="s">
        <v>266</v>
      </c>
      <c r="D3" s="2" t="s">
        <v>267</v>
      </c>
      <c r="E3" s="2" t="s">
        <v>268</v>
      </c>
      <c r="F3" s="2" t="s">
        <v>269</v>
      </c>
      <c r="G3" s="2" t="s">
        <v>272</v>
      </c>
      <c r="H3" s="2" t="s">
        <v>272</v>
      </c>
    </row>
    <row r="4" spans="1:8" ht="20.65" customHeight="1">
      <c r="A4" s="206" t="s">
        <v>256</v>
      </c>
      <c r="B4" s="209">
        <v>99500</v>
      </c>
      <c r="C4" s="209">
        <f>VLOOKUP(A4,A25:B40,2)</f>
        <v>100000</v>
      </c>
      <c r="D4" s="209">
        <f>B43</f>
        <v>60430.37</v>
      </c>
      <c r="E4" s="209">
        <f t="shared" ref="E4:E15" si="0">B61</f>
        <v>0</v>
      </c>
      <c r="F4" s="209">
        <v>0</v>
      </c>
      <c r="G4" s="209">
        <v>0</v>
      </c>
      <c r="H4" s="209">
        <v>0</v>
      </c>
    </row>
    <row r="5" spans="1:8" ht="20.65" customHeight="1">
      <c r="A5" s="206" t="s">
        <v>200</v>
      </c>
      <c r="B5" s="209">
        <v>96189</v>
      </c>
      <c r="C5" s="209">
        <f>VLOOKUP(A5,A26:B41,2)</f>
        <v>100000</v>
      </c>
      <c r="D5" s="209">
        <f>B44</f>
        <v>106400</v>
      </c>
      <c r="E5" s="209">
        <f t="shared" si="0"/>
        <v>95000</v>
      </c>
      <c r="F5" s="209">
        <v>100000</v>
      </c>
      <c r="G5" s="209">
        <v>27638.55</v>
      </c>
      <c r="H5" s="209"/>
    </row>
    <row r="6" spans="1:8" ht="20.65" customHeight="1">
      <c r="A6" s="206" t="s">
        <v>264</v>
      </c>
      <c r="B6" s="209"/>
      <c r="C6" s="209">
        <f>VLOOKUP(A6,A27:B43,2)</f>
        <v>108600</v>
      </c>
      <c r="D6" s="209">
        <f>B45</f>
        <v>85000</v>
      </c>
      <c r="E6" s="209">
        <f t="shared" si="0"/>
        <v>110000</v>
      </c>
      <c r="F6" s="209">
        <v>145600</v>
      </c>
      <c r="G6" s="209">
        <v>266400</v>
      </c>
      <c r="H6" s="209" t="e">
        <f>'НК, РГ'!#REF!</f>
        <v>#REF!</v>
      </c>
    </row>
    <row r="7" spans="1:8" ht="20.65" customHeight="1">
      <c r="A7" s="206" t="s">
        <v>234</v>
      </c>
      <c r="B7" s="209"/>
      <c r="C7" s="209"/>
      <c r="D7" s="209"/>
      <c r="E7" s="209">
        <f t="shared" si="0"/>
        <v>75000</v>
      </c>
      <c r="F7" s="209">
        <v>100000</v>
      </c>
      <c r="G7" s="209">
        <v>188000</v>
      </c>
      <c r="H7" s="209" t="e">
        <f>'НК, РГ'!#REF!</f>
        <v>#REF!</v>
      </c>
    </row>
    <row r="8" spans="1:8" ht="20.65" customHeight="1">
      <c r="A8" s="206" t="s">
        <v>159</v>
      </c>
      <c r="B8" s="209">
        <v>86849</v>
      </c>
      <c r="C8" s="209">
        <f>VLOOKUP(A8,A27:B43,2)</f>
        <v>75000</v>
      </c>
      <c r="D8" s="209">
        <f>B46</f>
        <v>84524</v>
      </c>
      <c r="E8" s="209">
        <f t="shared" si="0"/>
        <v>158600</v>
      </c>
      <c r="F8" s="209">
        <v>177000</v>
      </c>
      <c r="G8" s="209">
        <v>107500</v>
      </c>
      <c r="H8" s="209" t="e">
        <f>'НК, РГ'!#REF!</f>
        <v>#REF!</v>
      </c>
    </row>
    <row r="9" spans="1:8" ht="20.65" customHeight="1">
      <c r="A9" s="206" t="s">
        <v>108</v>
      </c>
      <c r="B9" s="209">
        <v>100000</v>
      </c>
      <c r="C9" s="209">
        <f>VLOOKUP(A9,A28:B44,2)</f>
        <v>105000</v>
      </c>
      <c r="D9" s="209">
        <f>B47</f>
        <v>109400</v>
      </c>
      <c r="E9" s="209">
        <f t="shared" si="0"/>
        <v>100000.00000000001</v>
      </c>
      <c r="F9" s="209">
        <v>192200</v>
      </c>
      <c r="G9" s="209">
        <v>230600</v>
      </c>
      <c r="H9" s="209" t="e">
        <f>'НК, РГ'!#REF!</f>
        <v>#REF!</v>
      </c>
    </row>
    <row r="10" spans="1:8" ht="20.65" customHeight="1">
      <c r="A10" s="206" t="s">
        <v>257</v>
      </c>
      <c r="B10" s="209">
        <v>75000</v>
      </c>
      <c r="C10" s="209">
        <f>VLOOKUP(A10,A29:B45,2)</f>
        <v>15097.77</v>
      </c>
      <c r="D10" s="209">
        <f>B48</f>
        <v>0</v>
      </c>
      <c r="E10" s="209">
        <f t="shared" si="0"/>
        <v>0</v>
      </c>
      <c r="F10" s="209">
        <v>0</v>
      </c>
      <c r="G10" s="209">
        <v>0</v>
      </c>
      <c r="H10" s="209">
        <v>0</v>
      </c>
    </row>
    <row r="11" spans="1:8" ht="20.65" customHeight="1">
      <c r="A11" s="206" t="s">
        <v>230</v>
      </c>
      <c r="B11" s="209">
        <v>90403</v>
      </c>
      <c r="C11" s="209">
        <f>VLOOKUP(A11,A30:B46,2)</f>
        <v>90300</v>
      </c>
      <c r="D11" s="209">
        <f>B49</f>
        <v>100000</v>
      </c>
      <c r="E11" s="209">
        <f t="shared" si="0"/>
        <v>35117.589999999997</v>
      </c>
      <c r="F11" s="209">
        <v>0</v>
      </c>
      <c r="G11" s="209">
        <v>0</v>
      </c>
      <c r="H11" s="209">
        <v>0</v>
      </c>
    </row>
    <row r="12" spans="1:8" ht="20.65" customHeight="1">
      <c r="A12" s="206" t="s">
        <v>235</v>
      </c>
      <c r="B12" s="209"/>
      <c r="C12" s="209"/>
      <c r="D12" s="209"/>
      <c r="E12" s="209">
        <f t="shared" si="0"/>
        <v>30000</v>
      </c>
      <c r="F12" s="209">
        <v>100000</v>
      </c>
      <c r="G12" s="209">
        <v>100000</v>
      </c>
      <c r="H12" s="209" t="e">
        <f>'НК, РГ'!#REF!</f>
        <v>#REF!</v>
      </c>
    </row>
    <row r="13" spans="1:8" ht="20.65" customHeight="1">
      <c r="A13" s="206" t="s">
        <v>258</v>
      </c>
      <c r="B13" s="209">
        <v>179600</v>
      </c>
      <c r="C13" s="209">
        <f>VLOOKUP(A13,A31:B47,2)</f>
        <v>244200</v>
      </c>
      <c r="D13" s="209">
        <f>B50</f>
        <v>238200</v>
      </c>
      <c r="E13" s="209">
        <f t="shared" si="0"/>
        <v>340600</v>
      </c>
      <c r="F13" s="209">
        <v>269500</v>
      </c>
      <c r="G13" s="209">
        <v>328600</v>
      </c>
      <c r="H13" s="209" t="e">
        <f>'НК, РГ'!#REF!</f>
        <v>#REF!</v>
      </c>
    </row>
    <row r="14" spans="1:8" ht="20.65" customHeight="1">
      <c r="A14" s="206" t="s">
        <v>259</v>
      </c>
      <c r="B14" s="209">
        <v>125000</v>
      </c>
      <c r="C14" s="209">
        <f>VLOOKUP(A14,A32:B48,2)</f>
        <v>92972.82</v>
      </c>
      <c r="D14" s="209">
        <f>B51</f>
        <v>0</v>
      </c>
      <c r="E14" s="209">
        <f t="shared" si="0"/>
        <v>0</v>
      </c>
      <c r="F14" s="209">
        <v>0</v>
      </c>
      <c r="G14" s="209">
        <v>0</v>
      </c>
      <c r="H14" s="209">
        <v>0</v>
      </c>
    </row>
    <row r="15" spans="1:8" ht="20.65" customHeight="1">
      <c r="A15" s="206" t="s">
        <v>231</v>
      </c>
      <c r="B15" s="209"/>
      <c r="C15" s="209"/>
      <c r="D15" s="209">
        <f>B52</f>
        <v>30000</v>
      </c>
      <c r="E15" s="209">
        <f t="shared" si="0"/>
        <v>22063.89</v>
      </c>
      <c r="F15" s="209">
        <v>0</v>
      </c>
      <c r="G15" s="209">
        <v>0</v>
      </c>
      <c r="H15" s="209">
        <v>0</v>
      </c>
    </row>
    <row r="16" spans="1:8" ht="20.65" customHeight="1">
      <c r="A16" s="206" t="s">
        <v>261</v>
      </c>
      <c r="B16" s="209">
        <v>100000</v>
      </c>
      <c r="C16" s="209">
        <f>B35</f>
        <v>97866</v>
      </c>
      <c r="D16" s="209">
        <f>B54</f>
        <v>100000</v>
      </c>
      <c r="E16" s="209">
        <f>B74</f>
        <v>120000</v>
      </c>
      <c r="F16" s="209">
        <v>100000</v>
      </c>
      <c r="G16" s="209">
        <v>235300</v>
      </c>
      <c r="H16" s="209" t="e">
        <f>'НК, РГ'!#REF!</f>
        <v>#REF!</v>
      </c>
    </row>
    <row r="17" spans="1:8" ht="20.65" customHeight="1">
      <c r="A17" s="206" t="s">
        <v>199</v>
      </c>
      <c r="B17" s="209">
        <v>112191</v>
      </c>
      <c r="C17" s="209">
        <f>B36</f>
        <v>87500</v>
      </c>
      <c r="D17" s="209">
        <f>B55</f>
        <v>98578</v>
      </c>
      <c r="E17" s="209">
        <f>B75</f>
        <v>90000</v>
      </c>
      <c r="F17" s="209">
        <v>100000</v>
      </c>
      <c r="G17" s="209">
        <v>154000</v>
      </c>
      <c r="H17" s="209" t="e">
        <f>'НК, РГ'!#REF!</f>
        <v>#REF!</v>
      </c>
    </row>
    <row r="18" spans="1:8" ht="20.65" customHeight="1">
      <c r="A18" s="206" t="s">
        <v>232</v>
      </c>
      <c r="B18" s="209"/>
      <c r="C18" s="209"/>
      <c r="D18" s="209"/>
      <c r="E18" s="209">
        <f>B76</f>
        <v>100000</v>
      </c>
      <c r="F18" s="209">
        <v>150000</v>
      </c>
      <c r="G18" s="209">
        <v>100000</v>
      </c>
      <c r="H18" s="209" t="e">
        <f>'НК, РГ'!#REF!</f>
        <v>#REF!</v>
      </c>
    </row>
    <row r="19" spans="1:8" ht="20.65" customHeight="1">
      <c r="A19" s="206" t="s">
        <v>262</v>
      </c>
      <c r="B19" s="209">
        <v>84160</v>
      </c>
      <c r="C19" s="209">
        <f>B38</f>
        <v>85000</v>
      </c>
      <c r="D19" s="209">
        <f>B57</f>
        <v>93662.16</v>
      </c>
      <c r="E19" s="209">
        <f>B78</f>
        <v>0</v>
      </c>
      <c r="F19" s="209">
        <v>0</v>
      </c>
      <c r="G19" s="209">
        <v>0</v>
      </c>
      <c r="H19" s="209">
        <v>0</v>
      </c>
    </row>
    <row r="20" spans="1:8" ht="20.65" customHeight="1">
      <c r="A20" s="206" t="s">
        <v>104</v>
      </c>
      <c r="B20" s="209">
        <v>85000</v>
      </c>
      <c r="C20" s="209">
        <f>B39</f>
        <v>90000</v>
      </c>
      <c r="D20" s="209">
        <f>B58</f>
        <v>50000</v>
      </c>
      <c r="E20" s="209">
        <f>B79</f>
        <v>48791.4</v>
      </c>
      <c r="F20" s="209">
        <v>0</v>
      </c>
      <c r="G20" s="209">
        <v>0</v>
      </c>
      <c r="H20" s="209">
        <v>0</v>
      </c>
    </row>
    <row r="21" spans="1:8" ht="20.65" customHeight="1">
      <c r="A21" s="154" t="s">
        <v>255</v>
      </c>
      <c r="B21" s="209"/>
      <c r="C21" s="209"/>
      <c r="D21" s="209"/>
      <c r="E21" s="209"/>
      <c r="F21" s="209">
        <v>70000</v>
      </c>
      <c r="G21" s="209">
        <v>146000</v>
      </c>
      <c r="H21" s="209" t="e">
        <f>'НК, РГ'!#REF!</f>
        <v>#REF!</v>
      </c>
    </row>
    <row r="22" spans="1:8" ht="20.65" customHeight="1">
      <c r="A22" s="206" t="s">
        <v>263</v>
      </c>
      <c r="B22" s="209">
        <v>99738</v>
      </c>
      <c r="C22" s="209">
        <f>B40</f>
        <v>100000</v>
      </c>
      <c r="D22" s="209">
        <f t="shared" ref="D22" si="1">B59</f>
        <v>110000</v>
      </c>
      <c r="E22" s="209">
        <f>B80</f>
        <v>110000</v>
      </c>
      <c r="F22" s="209">
        <v>21592.48</v>
      </c>
      <c r="G22" s="209">
        <v>0</v>
      </c>
      <c r="H22" s="209">
        <v>0</v>
      </c>
    </row>
    <row r="23" spans="1:8">
      <c r="A23" s="2"/>
      <c r="B23" s="209">
        <f t="shared" ref="B23:F23" si="2">SUM(B4:B22)</f>
        <v>1333630</v>
      </c>
      <c r="C23" s="209">
        <f t="shared" si="2"/>
        <v>1391536.59</v>
      </c>
      <c r="D23" s="209">
        <f t="shared" si="2"/>
        <v>1266194.53</v>
      </c>
      <c r="E23" s="209">
        <f t="shared" si="2"/>
        <v>1435172.88</v>
      </c>
      <c r="F23" s="209">
        <f t="shared" si="2"/>
        <v>1525892.48</v>
      </c>
      <c r="G23" s="209">
        <f t="shared" ref="G23:H23" si="3">SUM(G4:G22)</f>
        <v>1884038.55</v>
      </c>
      <c r="H23" s="209" t="e">
        <f t="shared" si="3"/>
        <v>#REF!</v>
      </c>
    </row>
    <row r="24" spans="1:8">
      <c r="B24" s="207"/>
    </row>
    <row r="25" spans="1:8" hidden="1">
      <c r="A25" s="206" t="s">
        <v>256</v>
      </c>
      <c r="B25" s="207">
        <v>100000</v>
      </c>
    </row>
    <row r="26" spans="1:8" hidden="1">
      <c r="A26" s="206" t="s">
        <v>200</v>
      </c>
      <c r="B26" s="207">
        <v>100000</v>
      </c>
    </row>
    <row r="27" spans="1:8" hidden="1">
      <c r="A27" s="206" t="s">
        <v>264</v>
      </c>
      <c r="B27" s="207">
        <v>108600</v>
      </c>
    </row>
    <row r="28" spans="1:8" hidden="1">
      <c r="A28" s="206" t="s">
        <v>159</v>
      </c>
      <c r="B28" s="207">
        <v>75000</v>
      </c>
    </row>
    <row r="29" spans="1:8" hidden="1">
      <c r="A29" s="206" t="s">
        <v>108</v>
      </c>
      <c r="B29" s="207">
        <v>105000</v>
      </c>
    </row>
    <row r="30" spans="1:8" hidden="1">
      <c r="A30" s="206" t="s">
        <v>257</v>
      </c>
      <c r="B30" s="207">
        <v>15097.77</v>
      </c>
    </row>
    <row r="31" spans="1:8" hidden="1">
      <c r="A31" s="206" t="s">
        <v>230</v>
      </c>
      <c r="B31" s="207">
        <v>90300</v>
      </c>
    </row>
    <row r="32" spans="1:8" hidden="1">
      <c r="A32" s="206" t="s">
        <v>258</v>
      </c>
      <c r="B32" s="207">
        <v>244200</v>
      </c>
    </row>
    <row r="33" spans="1:2" hidden="1">
      <c r="A33" s="206" t="s">
        <v>259</v>
      </c>
      <c r="B33" s="207">
        <v>92972.82</v>
      </c>
    </row>
    <row r="34" spans="1:2" hidden="1">
      <c r="A34" s="206" t="s">
        <v>260</v>
      </c>
      <c r="B34" s="207">
        <v>178000</v>
      </c>
    </row>
    <row r="35" spans="1:2" hidden="1">
      <c r="A35" s="206" t="s">
        <v>261</v>
      </c>
      <c r="B35" s="207">
        <v>97866</v>
      </c>
    </row>
    <row r="36" spans="1:2" hidden="1">
      <c r="A36" s="206" t="s">
        <v>199</v>
      </c>
      <c r="B36" s="207">
        <v>87500</v>
      </c>
    </row>
    <row r="37" spans="1:2" hidden="1">
      <c r="A37" s="206" t="s">
        <v>254</v>
      </c>
      <c r="B37" s="207">
        <v>198500</v>
      </c>
    </row>
    <row r="38" spans="1:2" hidden="1">
      <c r="A38" s="206" t="s">
        <v>262</v>
      </c>
      <c r="B38" s="207">
        <v>85000</v>
      </c>
    </row>
    <row r="39" spans="1:2" hidden="1">
      <c r="A39" s="206" t="s">
        <v>104</v>
      </c>
      <c r="B39" s="207">
        <v>90000</v>
      </c>
    </row>
    <row r="40" spans="1:2" hidden="1">
      <c r="A40" s="206" t="s">
        <v>263</v>
      </c>
      <c r="B40" s="207">
        <v>100000</v>
      </c>
    </row>
    <row r="41" spans="1:2" hidden="1">
      <c r="B41" s="207">
        <f>SUM(B25:B40)</f>
        <v>1768036.59</v>
      </c>
    </row>
    <row r="42" spans="1:2">
      <c r="B42" s="207"/>
    </row>
    <row r="43" spans="1:2" hidden="1">
      <c r="A43" s="206" t="s">
        <v>256</v>
      </c>
      <c r="B43" s="207">
        <v>60430.37</v>
      </c>
    </row>
    <row r="44" spans="1:2" hidden="1">
      <c r="A44" s="206" t="s">
        <v>200</v>
      </c>
      <c r="B44" s="207">
        <v>106400</v>
      </c>
    </row>
    <row r="45" spans="1:2" hidden="1">
      <c r="A45" s="206" t="s">
        <v>264</v>
      </c>
      <c r="B45" s="207">
        <v>85000</v>
      </c>
    </row>
    <row r="46" spans="1:2" hidden="1">
      <c r="A46" s="206" t="s">
        <v>159</v>
      </c>
      <c r="B46" s="207">
        <v>84524</v>
      </c>
    </row>
    <row r="47" spans="1:2" hidden="1">
      <c r="A47" s="206" t="s">
        <v>108</v>
      </c>
      <c r="B47" s="207">
        <v>109400</v>
      </c>
    </row>
    <row r="48" spans="1:2" hidden="1">
      <c r="A48" s="206" t="s">
        <v>257</v>
      </c>
      <c r="B48" s="207">
        <v>0</v>
      </c>
    </row>
    <row r="49" spans="1:2" hidden="1">
      <c r="A49" s="206" t="s">
        <v>230</v>
      </c>
      <c r="B49" s="207">
        <v>100000</v>
      </c>
    </row>
    <row r="50" spans="1:2" hidden="1">
      <c r="A50" s="206" t="s">
        <v>258</v>
      </c>
      <c r="B50" s="207">
        <v>238200</v>
      </c>
    </row>
    <row r="51" spans="1:2" hidden="1">
      <c r="A51" s="206" t="s">
        <v>259</v>
      </c>
      <c r="B51" s="207">
        <v>0</v>
      </c>
    </row>
    <row r="52" spans="1:2" hidden="1">
      <c r="A52" s="206" t="s">
        <v>231</v>
      </c>
      <c r="B52" s="207">
        <v>30000</v>
      </c>
    </row>
    <row r="53" spans="1:2" hidden="1">
      <c r="A53" s="206" t="s">
        <v>260</v>
      </c>
      <c r="B53" s="207">
        <v>177000</v>
      </c>
    </row>
    <row r="54" spans="1:2" hidden="1">
      <c r="A54" s="206" t="s">
        <v>261</v>
      </c>
      <c r="B54" s="207">
        <v>100000</v>
      </c>
    </row>
    <row r="55" spans="1:2" hidden="1">
      <c r="A55" s="206" t="s">
        <v>199</v>
      </c>
      <c r="B55" s="207">
        <v>98578</v>
      </c>
    </row>
    <row r="56" spans="1:2" hidden="1">
      <c r="A56" s="206" t="s">
        <v>254</v>
      </c>
      <c r="B56" s="207">
        <v>212000</v>
      </c>
    </row>
    <row r="57" spans="1:2" hidden="1">
      <c r="A57" s="206" t="s">
        <v>262</v>
      </c>
      <c r="B57" s="207">
        <v>93662.16</v>
      </c>
    </row>
    <row r="58" spans="1:2" hidden="1">
      <c r="A58" s="206" t="s">
        <v>104</v>
      </c>
      <c r="B58" s="207">
        <v>50000</v>
      </c>
    </row>
    <row r="59" spans="1:2" hidden="1">
      <c r="A59" s="206" t="s">
        <v>263</v>
      </c>
      <c r="B59" s="207">
        <v>110000</v>
      </c>
    </row>
    <row r="60" spans="1:2" hidden="1">
      <c r="B60" s="207">
        <f>SUM(B43:B59)</f>
        <v>1655194.53</v>
      </c>
    </row>
    <row r="61" spans="1:2" hidden="1">
      <c r="A61" s="206" t="s">
        <v>256</v>
      </c>
      <c r="B61" s="208">
        <v>0</v>
      </c>
    </row>
    <row r="62" spans="1:2" hidden="1">
      <c r="A62" s="206" t="s">
        <v>200</v>
      </c>
      <c r="B62" s="208">
        <v>95000</v>
      </c>
    </row>
    <row r="63" spans="1:2" hidden="1">
      <c r="A63" s="206" t="s">
        <v>264</v>
      </c>
      <c r="B63" s="208">
        <v>110000</v>
      </c>
    </row>
    <row r="64" spans="1:2" hidden="1">
      <c r="A64" s="206" t="s">
        <v>234</v>
      </c>
      <c r="B64" s="208">
        <v>75000</v>
      </c>
    </row>
    <row r="65" spans="1:2" hidden="1">
      <c r="A65" s="206" t="s">
        <v>159</v>
      </c>
      <c r="B65" s="208">
        <v>158600</v>
      </c>
    </row>
    <row r="66" spans="1:2" hidden="1">
      <c r="A66" s="206" t="s">
        <v>108</v>
      </c>
      <c r="B66" s="208">
        <v>100000.00000000001</v>
      </c>
    </row>
    <row r="67" spans="1:2" hidden="1">
      <c r="A67" s="206" t="s">
        <v>257</v>
      </c>
      <c r="B67" s="208">
        <v>0</v>
      </c>
    </row>
    <row r="68" spans="1:2" hidden="1">
      <c r="A68" s="206" t="s">
        <v>230</v>
      </c>
      <c r="B68" s="208">
        <v>35117.589999999997</v>
      </c>
    </row>
    <row r="69" spans="1:2" hidden="1">
      <c r="A69" s="206" t="s">
        <v>235</v>
      </c>
      <c r="B69" s="208">
        <v>30000</v>
      </c>
    </row>
    <row r="70" spans="1:2" hidden="1">
      <c r="A70" s="206" t="s">
        <v>258</v>
      </c>
      <c r="B70" s="208">
        <v>340600</v>
      </c>
    </row>
    <row r="71" spans="1:2" hidden="1">
      <c r="A71" s="206" t="s">
        <v>259</v>
      </c>
      <c r="B71" s="208">
        <v>0</v>
      </c>
    </row>
    <row r="72" spans="1:2" hidden="1">
      <c r="A72" s="206" t="s">
        <v>231</v>
      </c>
      <c r="B72" s="208">
        <v>22063.89</v>
      </c>
    </row>
    <row r="73" spans="1:2" hidden="1">
      <c r="A73" s="206" t="s">
        <v>260</v>
      </c>
      <c r="B73" s="208">
        <v>175500</v>
      </c>
    </row>
    <row r="74" spans="1:2" hidden="1">
      <c r="A74" s="206" t="s">
        <v>261</v>
      </c>
      <c r="B74" s="208">
        <v>120000</v>
      </c>
    </row>
    <row r="75" spans="1:2" hidden="1">
      <c r="A75" s="206" t="s">
        <v>199</v>
      </c>
      <c r="B75" s="208">
        <v>90000</v>
      </c>
    </row>
    <row r="76" spans="1:2" hidden="1">
      <c r="A76" s="206" t="s">
        <v>232</v>
      </c>
      <c r="B76" s="208">
        <v>100000</v>
      </c>
    </row>
    <row r="77" spans="1:2" hidden="1">
      <c r="A77" s="206" t="s">
        <v>254</v>
      </c>
      <c r="B77" s="208">
        <v>201000</v>
      </c>
    </row>
    <row r="78" spans="1:2" hidden="1">
      <c r="A78" s="206" t="s">
        <v>262</v>
      </c>
      <c r="B78" s="208">
        <v>0</v>
      </c>
    </row>
    <row r="79" spans="1:2" hidden="1">
      <c r="A79" s="206" t="s">
        <v>104</v>
      </c>
      <c r="B79" s="208">
        <v>48791.4</v>
      </c>
    </row>
    <row r="80" spans="1:2" hidden="1">
      <c r="A80" s="206" t="s">
        <v>263</v>
      </c>
      <c r="B80" s="208">
        <v>110000</v>
      </c>
    </row>
    <row r="81" spans="2:2" hidden="1">
      <c r="B81" s="207">
        <f>SUM(B61:B80)</f>
        <v>1811672.88</v>
      </c>
    </row>
  </sheetData>
  <mergeCells count="2">
    <mergeCell ref="A2:A3"/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31"/>
  <sheetViews>
    <sheetView topLeftCell="A7" workbookViewId="0">
      <selection activeCell="F26" sqref="F26"/>
    </sheetView>
  </sheetViews>
  <sheetFormatPr defaultRowHeight="15" outlineLevelRow="1"/>
  <cols>
    <col min="1" max="1" width="5.5703125" customWidth="1"/>
    <col min="2" max="2" width="23.42578125" customWidth="1"/>
    <col min="3" max="3" width="22.28515625" customWidth="1"/>
    <col min="4" max="4" width="11.42578125" customWidth="1"/>
    <col min="5" max="5" width="12.28515625" customWidth="1"/>
    <col min="6" max="6" width="11.7109375" customWidth="1"/>
    <col min="8" max="8" width="10.28515625" customWidth="1"/>
    <col min="9" max="9" width="8.5703125" customWidth="1"/>
    <col min="11" max="11" width="10" customWidth="1"/>
    <col min="13" max="13" width="9.7109375" customWidth="1"/>
    <col min="15" max="15" width="9.7109375" customWidth="1"/>
    <col min="17" max="17" width="9.7109375" customWidth="1"/>
    <col min="21" max="21" width="10.28515625" customWidth="1"/>
    <col min="23" max="23" width="10.28515625" customWidth="1"/>
    <col min="26" max="26" width="13.28515625" customWidth="1"/>
  </cols>
  <sheetData>
    <row r="1" spans="1:28" ht="21">
      <c r="A1" s="51" t="s">
        <v>76</v>
      </c>
    </row>
    <row r="2" spans="1:28">
      <c r="W2" s="12" t="e">
        <f>#REF!/#REF!</f>
        <v>#REF!</v>
      </c>
    </row>
    <row r="3" spans="1:28" s="35" customFormat="1">
      <c r="A3" s="36" t="s">
        <v>55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8" outlineLevel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8" ht="120" customHeight="1" outlineLevel="1">
      <c r="A5" s="37"/>
      <c r="B5" s="38" t="s">
        <v>34</v>
      </c>
      <c r="C5" s="38" t="s">
        <v>33</v>
      </c>
      <c r="D5" s="37"/>
      <c r="E5" s="46"/>
      <c r="F5" s="56" t="s">
        <v>21</v>
      </c>
      <c r="G5" s="514" t="s">
        <v>57</v>
      </c>
      <c r="H5" s="514"/>
      <c r="I5" s="515" t="s">
        <v>58</v>
      </c>
      <c r="J5" s="515"/>
      <c r="K5" s="47"/>
      <c r="L5" s="37"/>
      <c r="M5" s="434" t="s">
        <v>16</v>
      </c>
      <c r="N5" s="434"/>
      <c r="O5" s="431" t="s">
        <v>17</v>
      </c>
      <c r="P5" s="431" t="s">
        <v>18</v>
      </c>
      <c r="Q5" s="431" t="s">
        <v>61</v>
      </c>
      <c r="R5" s="431" t="s">
        <v>62</v>
      </c>
      <c r="S5" s="431" t="s">
        <v>63</v>
      </c>
      <c r="T5" s="37"/>
      <c r="U5" s="37"/>
      <c r="V5" s="37"/>
      <c r="W5" s="37"/>
      <c r="Y5" t="s">
        <v>152</v>
      </c>
      <c r="Z5" t="s">
        <v>153</v>
      </c>
      <c r="AA5" s="117">
        <v>0.5</v>
      </c>
      <c r="AB5" s="118">
        <v>45000</v>
      </c>
    </row>
    <row r="6" spans="1:28" ht="45" customHeight="1" outlineLevel="1">
      <c r="A6" s="37"/>
      <c r="B6" s="38" t="s">
        <v>54</v>
      </c>
      <c r="C6" s="38">
        <v>450</v>
      </c>
      <c r="D6" s="37"/>
      <c r="E6" s="48" t="s">
        <v>26</v>
      </c>
      <c r="F6" s="57">
        <v>18000</v>
      </c>
      <c r="G6" s="516">
        <v>5.8</v>
      </c>
      <c r="H6" s="516"/>
      <c r="I6" s="517" t="s">
        <v>81</v>
      </c>
      <c r="J6" s="517"/>
      <c r="K6" s="49"/>
      <c r="L6" s="37"/>
      <c r="M6" s="43" t="s">
        <v>19</v>
      </c>
      <c r="N6" s="43" t="s">
        <v>20</v>
      </c>
      <c r="O6" s="431"/>
      <c r="P6" s="431"/>
      <c r="Q6" s="431"/>
      <c r="R6" s="431"/>
      <c r="S6" s="431"/>
      <c r="T6" s="37"/>
      <c r="U6" s="37"/>
      <c r="V6" s="37"/>
      <c r="W6" s="37"/>
      <c r="Z6" t="s">
        <v>154</v>
      </c>
      <c r="AA6" s="117">
        <v>0.3</v>
      </c>
      <c r="AB6" s="118">
        <v>27000</v>
      </c>
    </row>
    <row r="7" spans="1:28" ht="25.5" outlineLevel="1">
      <c r="A7" s="37"/>
      <c r="B7" s="38" t="s">
        <v>56</v>
      </c>
      <c r="C7" s="38">
        <v>350</v>
      </c>
      <c r="D7" s="37"/>
      <c r="E7" s="37"/>
      <c r="F7" s="37"/>
      <c r="G7" s="37"/>
      <c r="H7" s="37"/>
      <c r="I7" s="37"/>
      <c r="J7" s="37"/>
      <c r="K7" s="37"/>
      <c r="L7" s="37"/>
      <c r="M7" s="43" t="s">
        <v>59</v>
      </c>
      <c r="N7" s="44">
        <v>520</v>
      </c>
      <c r="O7" s="45">
        <v>0</v>
      </c>
      <c r="P7" s="45">
        <v>0.5</v>
      </c>
      <c r="Q7" s="45">
        <v>0.8</v>
      </c>
      <c r="R7" s="45">
        <v>0.9</v>
      </c>
      <c r="S7" s="45">
        <v>1</v>
      </c>
      <c r="T7" s="37"/>
      <c r="U7" s="37"/>
      <c r="V7" s="37"/>
      <c r="W7" s="37"/>
      <c r="Z7" t="s">
        <v>155</v>
      </c>
      <c r="AA7" s="117">
        <v>0.2</v>
      </c>
      <c r="AB7" s="118">
        <v>18000</v>
      </c>
    </row>
    <row r="8" spans="1:28" ht="35.65" customHeight="1" outlineLevel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43" t="s">
        <v>57</v>
      </c>
      <c r="N8" s="44">
        <v>390</v>
      </c>
      <c r="O8" s="45">
        <v>0</v>
      </c>
      <c r="P8" s="45">
        <v>0.5</v>
      </c>
      <c r="Q8" s="45">
        <v>0.8</v>
      </c>
      <c r="R8" s="45">
        <v>0.9</v>
      </c>
      <c r="S8" s="45">
        <v>1</v>
      </c>
      <c r="T8" s="37"/>
      <c r="U8" s="37"/>
      <c r="V8" s="37"/>
      <c r="W8" s="37"/>
      <c r="AB8" s="118">
        <f>SUM(AB5:AB7)</f>
        <v>90000</v>
      </c>
    </row>
    <row r="9" spans="1:28" ht="51" outlineLevel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43" t="s">
        <v>60</v>
      </c>
      <c r="N9" s="44">
        <v>390</v>
      </c>
      <c r="O9" s="45">
        <v>0</v>
      </c>
      <c r="P9" s="45">
        <v>0.5</v>
      </c>
      <c r="Q9" s="45">
        <v>0.8</v>
      </c>
      <c r="R9" s="45">
        <v>0.9</v>
      </c>
      <c r="S9" s="45">
        <v>1</v>
      </c>
      <c r="T9" s="37"/>
      <c r="U9" s="37"/>
      <c r="V9" s="37"/>
      <c r="W9" s="37"/>
    </row>
    <row r="10" spans="1:28" outlineLevel="1"/>
    <row r="11" spans="1:28" outlineLevel="1"/>
    <row r="14" spans="1:28" s="10" customFormat="1" ht="14.65" customHeight="1">
      <c r="A14" s="375" t="s">
        <v>29</v>
      </c>
      <c r="B14" s="375" t="s">
        <v>23</v>
      </c>
      <c r="C14" s="375" t="s">
        <v>30</v>
      </c>
      <c r="D14" s="399" t="s">
        <v>24</v>
      </c>
      <c r="E14" s="400"/>
      <c r="F14" s="401"/>
      <c r="G14" s="510" t="s">
        <v>25</v>
      </c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2"/>
      <c r="T14" s="53" t="s">
        <v>126</v>
      </c>
      <c r="U14" s="103" t="s">
        <v>125</v>
      </c>
      <c r="V14" s="53" t="s">
        <v>127</v>
      </c>
    </row>
    <row r="15" spans="1:28" s="10" customFormat="1" ht="17.100000000000001" customHeight="1">
      <c r="A15" s="375"/>
      <c r="B15" s="375"/>
      <c r="C15" s="375"/>
      <c r="D15" s="402"/>
      <c r="E15" s="403"/>
      <c r="F15" s="404"/>
      <c r="G15" s="405" t="s">
        <v>50</v>
      </c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7"/>
      <c r="T15" s="54"/>
      <c r="U15" s="104"/>
      <c r="V15" s="54"/>
    </row>
    <row r="16" spans="1:28" s="10" customFormat="1" ht="16.149999999999999" customHeight="1">
      <c r="A16" s="375"/>
      <c r="B16" s="375"/>
      <c r="C16" s="375"/>
      <c r="D16" s="405"/>
      <c r="E16" s="406"/>
      <c r="F16" s="407"/>
      <c r="G16" s="513" t="str">
        <f>Z5</f>
        <v>1. Соблюдение плановых интервалов замен шин, расходников и агрегатов (допускается доля внеплановых замен не более 5%). Отклонение от нормы ходимости +- 5%.</v>
      </c>
      <c r="H16" s="513"/>
      <c r="I16" s="513"/>
      <c r="J16" s="513" t="str">
        <f>Z6</f>
        <v>2. Затраты на ТО и Р</v>
      </c>
      <c r="K16" s="513"/>
      <c r="L16" s="513"/>
      <c r="M16" s="447" t="str">
        <f>Z7</f>
        <v>3. Смарт задачи</v>
      </c>
      <c r="N16" s="448"/>
      <c r="O16" s="448"/>
      <c r="P16" s="449"/>
      <c r="Q16" s="445" t="s">
        <v>52</v>
      </c>
      <c r="R16" s="445" t="s">
        <v>128</v>
      </c>
      <c r="S16" s="379" t="s">
        <v>49</v>
      </c>
      <c r="T16" s="54"/>
      <c r="U16" s="104"/>
      <c r="V16" s="54"/>
    </row>
    <row r="17" spans="1:22" s="10" customFormat="1" ht="47.1" customHeight="1">
      <c r="A17" s="375"/>
      <c r="B17" s="375"/>
      <c r="C17" s="375"/>
      <c r="D17" s="52" t="s">
        <v>27</v>
      </c>
      <c r="E17" s="14" t="s">
        <v>32</v>
      </c>
      <c r="F17" s="14" t="s">
        <v>43</v>
      </c>
      <c r="G17" s="52"/>
      <c r="H17" s="17" t="s">
        <v>47</v>
      </c>
      <c r="I17" s="24" t="s">
        <v>51</v>
      </c>
      <c r="J17" s="52" t="s">
        <v>48</v>
      </c>
      <c r="K17" s="19" t="s">
        <v>47</v>
      </c>
      <c r="L17" s="27" t="s">
        <v>51</v>
      </c>
      <c r="M17" s="52" t="s">
        <v>26</v>
      </c>
      <c r="N17" s="52" t="s">
        <v>64</v>
      </c>
      <c r="O17" s="21" t="s">
        <v>47</v>
      </c>
      <c r="P17" s="30" t="s">
        <v>51</v>
      </c>
      <c r="Q17" s="446"/>
      <c r="R17" s="446"/>
      <c r="S17" s="380"/>
      <c r="T17" s="55"/>
      <c r="U17" s="105"/>
      <c r="V17" s="55"/>
    </row>
    <row r="18" spans="1:22">
      <c r="A18" s="2">
        <v>4</v>
      </c>
      <c r="B18" s="2" t="s">
        <v>54</v>
      </c>
      <c r="C18" s="2" t="s">
        <v>96</v>
      </c>
      <c r="D18" s="77"/>
      <c r="E18" s="15"/>
      <c r="F18" s="15">
        <v>60000</v>
      </c>
      <c r="G18" s="11"/>
      <c r="H18" s="18">
        <v>1</v>
      </c>
      <c r="I18" s="25">
        <f>AB5*H18</f>
        <v>45000</v>
      </c>
      <c r="J18" s="70">
        <v>12.3</v>
      </c>
      <c r="K18" s="20">
        <f>G$6/J18</f>
        <v>0.47154471544715443</v>
      </c>
      <c r="L18" s="28">
        <f>AB6*K18</f>
        <v>12731.707317073169</v>
      </c>
      <c r="M18" s="50"/>
      <c r="N18" s="50"/>
      <c r="O18" s="78">
        <v>1</v>
      </c>
      <c r="P18" s="31">
        <f>AB7*O18</f>
        <v>18000</v>
      </c>
      <c r="Q18" s="33">
        <v>90000</v>
      </c>
      <c r="R18" s="33"/>
      <c r="S18" s="23">
        <f>Q18</f>
        <v>90000</v>
      </c>
      <c r="T18" s="23">
        <f>F18+S18</f>
        <v>150000</v>
      </c>
      <c r="U18" s="23"/>
      <c r="V18" s="23">
        <f>T18-U18</f>
        <v>150000</v>
      </c>
    </row>
    <row r="19" spans="1:22">
      <c r="A19" s="2">
        <v>4</v>
      </c>
      <c r="B19" s="2" t="s">
        <v>205</v>
      </c>
      <c r="C19" s="2" t="s">
        <v>206</v>
      </c>
      <c r="D19" s="77"/>
      <c r="E19" s="15"/>
      <c r="F19" s="15">
        <v>60000</v>
      </c>
      <c r="G19" s="11"/>
      <c r="H19" s="18"/>
      <c r="I19" s="25"/>
      <c r="J19" s="70"/>
      <c r="K19" s="20"/>
      <c r="L19" s="28"/>
      <c r="M19" s="50"/>
      <c r="N19" s="50"/>
      <c r="O19" s="78"/>
      <c r="P19" s="31"/>
      <c r="Q19" s="33">
        <v>90000</v>
      </c>
      <c r="R19" s="33"/>
      <c r="S19" s="23">
        <f>Q19</f>
        <v>90000</v>
      </c>
      <c r="T19" s="23">
        <f>F19+S19</f>
        <v>150000</v>
      </c>
      <c r="U19" s="23"/>
      <c r="V19" s="23">
        <f>T19-U19</f>
        <v>150000</v>
      </c>
    </row>
    <row r="21" spans="1:22" s="10" customFormat="1" ht="14.65" customHeight="1">
      <c r="A21" s="375" t="s">
        <v>29</v>
      </c>
      <c r="B21" s="375" t="s">
        <v>23</v>
      </c>
      <c r="C21" s="375" t="s">
        <v>30</v>
      </c>
      <c r="D21" s="399" t="s">
        <v>24</v>
      </c>
      <c r="E21" s="400"/>
      <c r="F21" s="401"/>
      <c r="G21" s="510" t="s">
        <v>25</v>
      </c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2"/>
      <c r="T21" s="53" t="s">
        <v>126</v>
      </c>
      <c r="U21" s="103" t="s">
        <v>125</v>
      </c>
      <c r="V21" s="53" t="s">
        <v>127</v>
      </c>
    </row>
    <row r="22" spans="1:22" s="10" customFormat="1" ht="17.100000000000001" customHeight="1">
      <c r="A22" s="375"/>
      <c r="B22" s="375"/>
      <c r="C22" s="375"/>
      <c r="D22" s="402"/>
      <c r="E22" s="403"/>
      <c r="F22" s="404"/>
      <c r="G22" s="405" t="s">
        <v>50</v>
      </c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7"/>
      <c r="T22" s="54"/>
      <c r="U22" s="104"/>
      <c r="V22" s="54"/>
    </row>
    <row r="23" spans="1:22" s="10" customFormat="1" ht="16.149999999999999" customHeight="1">
      <c r="A23" s="375"/>
      <c r="B23" s="375"/>
      <c r="C23" s="375"/>
      <c r="D23" s="405"/>
      <c r="E23" s="406"/>
      <c r="F23" s="407"/>
      <c r="G23" s="513"/>
      <c r="H23" s="513"/>
      <c r="I23" s="513"/>
      <c r="J23" s="513"/>
      <c r="K23" s="513"/>
      <c r="L23" s="513"/>
      <c r="M23" s="447"/>
      <c r="N23" s="448"/>
      <c r="O23" s="448"/>
      <c r="P23" s="449"/>
      <c r="Q23" s="445" t="s">
        <v>52</v>
      </c>
      <c r="R23" s="445" t="s">
        <v>128</v>
      </c>
      <c r="S23" s="379" t="s">
        <v>49</v>
      </c>
      <c r="T23" s="54"/>
      <c r="U23" s="104"/>
      <c r="V23" s="54"/>
    </row>
    <row r="24" spans="1:22" s="10" customFormat="1" ht="47.1" customHeight="1">
      <c r="A24" s="375"/>
      <c r="B24" s="375"/>
      <c r="C24" s="375"/>
      <c r="D24" s="52" t="s">
        <v>27</v>
      </c>
      <c r="E24" s="14" t="s">
        <v>32</v>
      </c>
      <c r="F24" s="14" t="s">
        <v>43</v>
      </c>
      <c r="G24" s="52"/>
      <c r="H24" s="17"/>
      <c r="I24" s="24"/>
      <c r="J24" s="52"/>
      <c r="K24" s="19"/>
      <c r="L24" s="27"/>
      <c r="M24" s="52"/>
      <c r="N24" s="52"/>
      <c r="O24" s="21"/>
      <c r="P24" s="30"/>
      <c r="Q24" s="446"/>
      <c r="R24" s="446"/>
      <c r="S24" s="380"/>
      <c r="T24" s="55"/>
      <c r="U24" s="105"/>
      <c r="V24" s="55"/>
    </row>
    <row r="26" spans="1:22">
      <c r="A26" s="2">
        <v>6</v>
      </c>
      <c r="B26" s="2" t="s">
        <v>107</v>
      </c>
      <c r="C26" s="2" t="s">
        <v>115</v>
      </c>
      <c r="D26" s="2"/>
      <c r="E26" s="15"/>
      <c r="F26" s="15">
        <v>70000</v>
      </c>
      <c r="G26" s="11"/>
      <c r="H26" s="18"/>
      <c r="I26" s="25"/>
      <c r="J26" s="70"/>
      <c r="K26" s="20"/>
      <c r="L26" s="28"/>
      <c r="M26" s="50"/>
      <c r="N26" s="50"/>
      <c r="O26" s="78"/>
      <c r="P26" s="31"/>
      <c r="Q26" s="33">
        <f>I26+L26+P26</f>
        <v>0</v>
      </c>
      <c r="R26" s="33"/>
      <c r="S26" s="23">
        <v>0</v>
      </c>
      <c r="T26" s="23">
        <f>F26+S26</f>
        <v>70000</v>
      </c>
      <c r="U26" s="23"/>
      <c r="V26" s="23">
        <f>T26-U26</f>
        <v>70000</v>
      </c>
    </row>
    <row r="27" spans="1:22">
      <c r="A27" s="2">
        <v>7</v>
      </c>
      <c r="B27" s="2"/>
      <c r="C27" s="2"/>
      <c r="D27" s="2"/>
      <c r="E27" s="15"/>
      <c r="F27" s="15"/>
      <c r="G27" s="11"/>
      <c r="H27" s="18"/>
      <c r="I27" s="25"/>
      <c r="J27" s="70"/>
      <c r="K27" s="20"/>
      <c r="L27" s="28"/>
      <c r="M27" s="13"/>
      <c r="N27" s="13"/>
      <c r="O27" s="22"/>
      <c r="P27" s="31"/>
      <c r="Q27" s="33">
        <f>I27+L27+P27</f>
        <v>0</v>
      </c>
      <c r="R27" s="33"/>
      <c r="S27" s="23">
        <f>D27*Q27</f>
        <v>0</v>
      </c>
      <c r="T27" s="23">
        <f>F27+S27</f>
        <v>0</v>
      </c>
      <c r="U27" s="23"/>
      <c r="V27" s="23">
        <f>T27-U27</f>
        <v>0</v>
      </c>
    </row>
    <row r="28" spans="1:22">
      <c r="A28" s="2">
        <v>8</v>
      </c>
      <c r="B28" s="2" t="s">
        <v>107</v>
      </c>
      <c r="C28" s="2"/>
      <c r="D28" s="2"/>
      <c r="E28" s="15"/>
      <c r="F28" s="15"/>
      <c r="G28" s="11"/>
      <c r="H28" s="18"/>
      <c r="I28" s="25"/>
      <c r="J28" s="70"/>
      <c r="K28" s="20"/>
      <c r="L28" s="28"/>
      <c r="M28" s="13"/>
      <c r="N28" s="13"/>
      <c r="O28" s="22"/>
      <c r="P28" s="31"/>
      <c r="Q28" s="33">
        <f>I28+L28+P28</f>
        <v>0</v>
      </c>
      <c r="R28" s="33"/>
      <c r="S28" s="23">
        <f>D28*Q28</f>
        <v>0</v>
      </c>
      <c r="T28" s="23">
        <f>F28+S28</f>
        <v>0</v>
      </c>
      <c r="U28" s="23"/>
      <c r="V28" s="23">
        <f>T28-U28</f>
        <v>0</v>
      </c>
    </row>
    <row r="29" spans="1:22">
      <c r="A29" s="2"/>
      <c r="B29" s="2"/>
      <c r="C29" s="2"/>
      <c r="D29" s="2"/>
      <c r="E29" s="16"/>
      <c r="F29" s="15">
        <f>SUM(F26:F28)</f>
        <v>70000</v>
      </c>
      <c r="G29" s="11"/>
      <c r="H29" s="18"/>
      <c r="I29" s="26"/>
      <c r="J29" s="70"/>
      <c r="K29" s="20"/>
      <c r="L29" s="29"/>
      <c r="M29" s="13"/>
      <c r="N29" s="13"/>
      <c r="O29" s="22"/>
      <c r="P29" s="32"/>
      <c r="Q29" s="34" t="s">
        <v>39</v>
      </c>
      <c r="R29" s="34"/>
      <c r="S29" s="23">
        <f>SUM(S26:S26)</f>
        <v>0</v>
      </c>
      <c r="T29" s="23">
        <f>SUM(T26:T26)</f>
        <v>70000</v>
      </c>
      <c r="U29" s="23"/>
      <c r="V29" s="23">
        <f>SUM(V26:V26)</f>
        <v>70000</v>
      </c>
    </row>
    <row r="31" spans="1:22">
      <c r="F31" s="12">
        <f>F18+F19+F29</f>
        <v>190000</v>
      </c>
      <c r="S31" s="12">
        <f>S18+S19+S29</f>
        <v>180000</v>
      </c>
      <c r="T31" s="12">
        <f>T18+T19+T29</f>
        <v>370000</v>
      </c>
    </row>
  </sheetData>
  <mergeCells count="34">
    <mergeCell ref="A21:A24"/>
    <mergeCell ref="B21:B24"/>
    <mergeCell ref="C21:C24"/>
    <mergeCell ref="D21:F23"/>
    <mergeCell ref="Q5:Q6"/>
    <mergeCell ref="G23:I23"/>
    <mergeCell ref="J23:L23"/>
    <mergeCell ref="M23:P23"/>
    <mergeCell ref="Q23:Q24"/>
    <mergeCell ref="G5:H5"/>
    <mergeCell ref="I5:J5"/>
    <mergeCell ref="M5:N5"/>
    <mergeCell ref="O5:O6"/>
    <mergeCell ref="P5:P6"/>
    <mergeCell ref="G6:H6"/>
    <mergeCell ref="I6:J6"/>
    <mergeCell ref="S23:S24"/>
    <mergeCell ref="G21:S21"/>
    <mergeCell ref="G22:S22"/>
    <mergeCell ref="R5:R6"/>
    <mergeCell ref="S5:S6"/>
    <mergeCell ref="R23:R24"/>
    <mergeCell ref="A14:A17"/>
    <mergeCell ref="B14:B17"/>
    <mergeCell ref="C14:C17"/>
    <mergeCell ref="D14:F16"/>
    <mergeCell ref="G14:S14"/>
    <mergeCell ref="G15:S15"/>
    <mergeCell ref="G16:I16"/>
    <mergeCell ref="J16:L16"/>
    <mergeCell ref="M16:P16"/>
    <mergeCell ref="Q16:Q17"/>
    <mergeCell ref="R16:R17"/>
    <mergeCell ref="S16:S17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workbookViewId="0">
      <selection activeCell="L24" sqref="L24"/>
    </sheetView>
  </sheetViews>
  <sheetFormatPr defaultRowHeight="15" outlineLevelRow="1"/>
  <cols>
    <col min="1" max="1" width="5.5703125" customWidth="1"/>
    <col min="2" max="2" width="23.42578125" customWidth="1"/>
    <col min="3" max="3" width="22.28515625" customWidth="1"/>
    <col min="4" max="4" width="11.42578125" customWidth="1"/>
    <col min="5" max="5" width="12.28515625" customWidth="1"/>
    <col min="6" max="6" width="11.7109375" customWidth="1"/>
    <col min="8" max="8" width="10.28515625" customWidth="1"/>
    <col min="9" max="11" width="8.5703125" customWidth="1"/>
    <col min="12" max="12" width="12.42578125" customWidth="1"/>
    <col min="13" max="13" width="12.7109375" customWidth="1"/>
    <col min="15" max="15" width="9.7109375" customWidth="1"/>
    <col min="17" max="17" width="9.7109375" customWidth="1"/>
    <col min="19" max="19" width="9.7109375" customWidth="1"/>
  </cols>
  <sheetData>
    <row r="1" spans="1:14" ht="21">
      <c r="A1" s="51" t="s">
        <v>78</v>
      </c>
    </row>
    <row r="4" spans="1:14" s="35" customFormat="1">
      <c r="A4" s="36" t="s">
        <v>97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17.100000000000001" customHeight="1" outlineLevel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 ht="16.149999999999999" customHeight="1" outlineLevel="1">
      <c r="A6" s="37"/>
      <c r="B6" s="434" t="s">
        <v>16</v>
      </c>
      <c r="C6" s="434"/>
      <c r="D6" s="431" t="s">
        <v>17</v>
      </c>
      <c r="E6" s="431" t="s">
        <v>18</v>
      </c>
      <c r="F6" s="431" t="s">
        <v>61</v>
      </c>
      <c r="G6" s="431" t="s">
        <v>62</v>
      </c>
      <c r="H6" s="431" t="s">
        <v>63</v>
      </c>
      <c r="I6" s="37"/>
      <c r="J6" s="37"/>
      <c r="K6" s="37"/>
      <c r="L6" s="37"/>
      <c r="M6" s="37"/>
      <c r="N6" s="37"/>
    </row>
    <row r="7" spans="1:14" ht="47.1" customHeight="1" outlineLevel="1">
      <c r="A7" s="37"/>
      <c r="B7" s="43" t="s">
        <v>19</v>
      </c>
      <c r="C7" s="43" t="s">
        <v>20</v>
      </c>
      <c r="D7" s="431"/>
      <c r="E7" s="431"/>
      <c r="F7" s="431"/>
      <c r="G7" s="431"/>
      <c r="H7" s="431"/>
      <c r="I7" s="37"/>
      <c r="J7" s="37"/>
      <c r="K7" s="37"/>
      <c r="L7" s="37"/>
      <c r="M7" s="37"/>
      <c r="N7" s="37"/>
    </row>
    <row r="8" spans="1:14" ht="25.5" outlineLevel="1">
      <c r="A8" s="37"/>
      <c r="B8" s="43" t="s">
        <v>98</v>
      </c>
      <c r="C8" s="71">
        <v>1</v>
      </c>
      <c r="D8" s="45">
        <v>0</v>
      </c>
      <c r="E8" s="45">
        <v>0.5</v>
      </c>
      <c r="F8" s="45">
        <v>0.8</v>
      </c>
      <c r="G8" s="45">
        <v>0.9</v>
      </c>
      <c r="H8" s="45">
        <v>1</v>
      </c>
      <c r="I8" s="37"/>
      <c r="J8" s="37"/>
      <c r="K8" s="37"/>
      <c r="L8" s="37"/>
      <c r="M8" s="37"/>
      <c r="N8" s="37"/>
    </row>
    <row r="9" spans="1:14" outlineLevel="1">
      <c r="A9" s="37"/>
      <c r="B9" s="43"/>
      <c r="C9" s="44"/>
      <c r="D9" s="45"/>
      <c r="E9" s="45"/>
      <c r="F9" s="45"/>
      <c r="G9" s="45"/>
      <c r="H9" s="45"/>
      <c r="I9" s="37"/>
      <c r="J9" s="37"/>
      <c r="K9" s="37"/>
      <c r="L9" s="37"/>
      <c r="M9" s="37"/>
      <c r="N9" s="37"/>
    </row>
    <row r="10" spans="1:14" outlineLevel="1">
      <c r="A10" s="37"/>
      <c r="B10" s="43"/>
      <c r="C10" s="44"/>
      <c r="D10" s="45"/>
      <c r="E10" s="45"/>
      <c r="F10" s="45"/>
      <c r="G10" s="45"/>
      <c r="H10" s="45"/>
      <c r="I10" s="37"/>
      <c r="J10" s="37"/>
      <c r="K10" s="37"/>
      <c r="L10" s="37"/>
      <c r="M10" s="37"/>
      <c r="N10" s="37"/>
    </row>
    <row r="11" spans="1:14" outlineLevel="1"/>
    <row r="12" spans="1:14" outlineLevel="1"/>
    <row r="14" spans="1:14" s="10" customFormat="1" ht="14.65" customHeight="1">
      <c r="A14" s="375" t="s">
        <v>29</v>
      </c>
      <c r="B14" s="375" t="s">
        <v>23</v>
      </c>
      <c r="C14" s="375" t="s">
        <v>30</v>
      </c>
      <c r="D14" s="376" t="s">
        <v>24</v>
      </c>
      <c r="E14" s="450" t="s">
        <v>79</v>
      </c>
      <c r="F14" s="451"/>
      <c r="G14" s="451"/>
      <c r="H14" s="451"/>
      <c r="I14" s="451"/>
      <c r="J14" s="451"/>
      <c r="K14" s="451"/>
      <c r="L14" s="452"/>
      <c r="M14" s="379" t="s">
        <v>53</v>
      </c>
    </row>
    <row r="15" spans="1:14" s="10" customFormat="1">
      <c r="A15" s="375"/>
      <c r="B15" s="375"/>
      <c r="C15" s="375"/>
      <c r="D15" s="377"/>
      <c r="E15" s="450" t="s">
        <v>50</v>
      </c>
      <c r="F15" s="451"/>
      <c r="G15" s="451"/>
      <c r="H15" s="451"/>
      <c r="I15" s="451"/>
      <c r="J15" s="451"/>
      <c r="K15" s="451"/>
      <c r="L15" s="452"/>
      <c r="M15" s="381"/>
    </row>
    <row r="16" spans="1:14" s="10" customFormat="1">
      <c r="A16" s="375"/>
      <c r="B16" s="375"/>
      <c r="C16" s="375"/>
      <c r="D16" s="377"/>
      <c r="E16" s="520" t="s">
        <v>99</v>
      </c>
      <c r="F16" s="450" t="s">
        <v>98</v>
      </c>
      <c r="G16" s="451"/>
      <c r="H16" s="451"/>
      <c r="I16" s="452"/>
      <c r="J16" s="86"/>
      <c r="K16" s="86"/>
      <c r="L16" s="379" t="s">
        <v>49</v>
      </c>
      <c r="M16" s="381"/>
    </row>
    <row r="17" spans="1:14" s="10" customFormat="1" ht="75">
      <c r="A17" s="375"/>
      <c r="B17" s="375"/>
      <c r="C17" s="375"/>
      <c r="D17" s="378"/>
      <c r="E17" s="521"/>
      <c r="F17" s="52" t="s">
        <v>26</v>
      </c>
      <c r="G17" s="19" t="s">
        <v>100</v>
      </c>
      <c r="H17" s="19" t="s">
        <v>101</v>
      </c>
      <c r="I17" s="27" t="s">
        <v>102</v>
      </c>
      <c r="J17" s="88"/>
      <c r="K17" s="88"/>
      <c r="L17" s="380"/>
      <c r="M17" s="380"/>
    </row>
    <row r="18" spans="1:14">
      <c r="A18" s="2">
        <v>7</v>
      </c>
      <c r="B18" s="2" t="s">
        <v>65</v>
      </c>
      <c r="C18" s="2" t="s">
        <v>71</v>
      </c>
      <c r="D18" s="15">
        <v>54761.9</v>
      </c>
      <c r="E18" s="72">
        <v>40000</v>
      </c>
      <c r="F18" s="13">
        <v>35</v>
      </c>
      <c r="G18" s="73">
        <v>35</v>
      </c>
      <c r="H18" s="74">
        <f>G18/F18</f>
        <v>1</v>
      </c>
      <c r="I18" s="75">
        <f>IF(H18&lt;50%,$D$8,IF(H18&lt;90%,$E$8,IF(H18&lt;95%,$F$8,IF(H18&lt;100%,$G$8,IF(H18&gt;=100%,$H$8)))))</f>
        <v>1</v>
      </c>
      <c r="J18" s="75"/>
      <c r="K18" s="75"/>
      <c r="L18" s="23">
        <f>E18*I18</f>
        <v>40000</v>
      </c>
      <c r="M18" s="23">
        <f>D18+L18</f>
        <v>94761.9</v>
      </c>
      <c r="N18" s="12"/>
    </row>
    <row r="19" spans="1:14" ht="23.1" customHeight="1">
      <c r="A19" s="2"/>
      <c r="B19" s="2"/>
      <c r="C19" s="2"/>
      <c r="D19" s="15"/>
      <c r="E19" s="72"/>
      <c r="F19" s="518" t="s">
        <v>117</v>
      </c>
      <c r="G19" s="519"/>
      <c r="H19" s="519"/>
      <c r="I19" s="518" t="s">
        <v>119</v>
      </c>
      <c r="J19" s="519"/>
      <c r="K19" s="519"/>
      <c r="L19" s="23"/>
      <c r="M19" s="23"/>
      <c r="N19" s="12"/>
    </row>
    <row r="20" spans="1:14" ht="36">
      <c r="A20" s="2"/>
      <c r="B20" s="2"/>
      <c r="C20" s="2"/>
      <c r="D20" s="15"/>
      <c r="E20" s="72"/>
      <c r="F20" s="99" t="s">
        <v>118</v>
      </c>
      <c r="G20" s="99" t="s">
        <v>106</v>
      </c>
      <c r="H20" s="99" t="s">
        <v>111</v>
      </c>
      <c r="I20" s="99" t="s">
        <v>118</v>
      </c>
      <c r="J20" s="99" t="s">
        <v>106</v>
      </c>
      <c r="K20" s="99" t="s">
        <v>111</v>
      </c>
      <c r="L20" s="23"/>
      <c r="M20" s="23"/>
      <c r="N20" s="12"/>
    </row>
    <row r="21" spans="1:14">
      <c r="A21" s="2"/>
      <c r="B21" s="2" t="s">
        <v>66</v>
      </c>
      <c r="C21" s="2" t="s">
        <v>157</v>
      </c>
      <c r="D21" s="15">
        <v>45000</v>
      </c>
      <c r="E21" s="72">
        <v>30000</v>
      </c>
      <c r="F21" s="87">
        <v>0.7</v>
      </c>
      <c r="G21" s="89">
        <v>1</v>
      </c>
      <c r="H21" s="28">
        <f>E21*F21*G21</f>
        <v>21000</v>
      </c>
      <c r="I21" s="87">
        <v>0.3</v>
      </c>
      <c r="J21" s="89">
        <v>1</v>
      </c>
      <c r="K21" s="28">
        <f>E21*I21*J21</f>
        <v>9000</v>
      </c>
      <c r="L21" s="23">
        <f>H21+K21</f>
        <v>30000</v>
      </c>
      <c r="M21" s="23">
        <f>D21+L21</f>
        <v>75000</v>
      </c>
      <c r="N21" s="12"/>
    </row>
    <row r="22" spans="1:14">
      <c r="A22" s="2"/>
      <c r="B22" s="2" t="s">
        <v>66</v>
      </c>
      <c r="C22" s="2" t="s">
        <v>207</v>
      </c>
      <c r="D22" s="15">
        <v>50000</v>
      </c>
      <c r="E22" s="72"/>
      <c r="F22" s="87"/>
      <c r="G22" s="89"/>
      <c r="H22" s="28"/>
      <c r="I22" s="87"/>
      <c r="J22" s="89"/>
      <c r="K22" s="28"/>
      <c r="L22" s="23">
        <f t="shared" ref="L22:L24" si="0">H22+K22</f>
        <v>0</v>
      </c>
      <c r="M22" s="23">
        <f>D22+L22</f>
        <v>50000</v>
      </c>
      <c r="N22" s="12" t="s">
        <v>210</v>
      </c>
    </row>
    <row r="23" spans="1:14">
      <c r="A23" s="2"/>
      <c r="B23" s="2" t="s">
        <v>66</v>
      </c>
      <c r="C23" s="2" t="s">
        <v>181</v>
      </c>
      <c r="D23" s="15">
        <v>45000</v>
      </c>
      <c r="E23" s="72">
        <v>20000</v>
      </c>
      <c r="F23" s="87">
        <v>0.7</v>
      </c>
      <c r="G23" s="89">
        <v>1</v>
      </c>
      <c r="H23" s="28">
        <f>E23*F23*G23</f>
        <v>14000</v>
      </c>
      <c r="I23" s="87">
        <v>0.3</v>
      </c>
      <c r="J23" s="89">
        <v>1</v>
      </c>
      <c r="K23" s="28">
        <f>E23*I23*J23</f>
        <v>6000</v>
      </c>
      <c r="L23" s="23">
        <f t="shared" si="0"/>
        <v>20000</v>
      </c>
      <c r="M23" s="23">
        <f>D23+L23</f>
        <v>65000</v>
      </c>
      <c r="N23" s="12"/>
    </row>
    <row r="24" spans="1:14">
      <c r="A24" s="2"/>
      <c r="B24" s="2" t="s">
        <v>66</v>
      </c>
      <c r="C24" s="2" t="s">
        <v>182</v>
      </c>
      <c r="D24" s="15">
        <v>50000</v>
      </c>
      <c r="E24" s="72">
        <v>20000</v>
      </c>
      <c r="F24" s="87">
        <v>0.7</v>
      </c>
      <c r="G24" s="89">
        <v>1</v>
      </c>
      <c r="H24" s="28">
        <f>E24*F24*G24</f>
        <v>14000</v>
      </c>
      <c r="I24" s="87">
        <v>0.3</v>
      </c>
      <c r="J24" s="89">
        <v>1</v>
      </c>
      <c r="K24" s="28">
        <f>E24*I24*J24</f>
        <v>6000</v>
      </c>
      <c r="L24" s="23">
        <f t="shared" si="0"/>
        <v>20000</v>
      </c>
      <c r="M24" s="23">
        <f>D24+L24</f>
        <v>70000</v>
      </c>
      <c r="N24" s="12"/>
    </row>
    <row r="25" spans="1:14">
      <c r="A25" s="2"/>
      <c r="B25" s="2"/>
      <c r="C25" s="2"/>
      <c r="D25" s="15">
        <f>SUM(D18:D24)</f>
        <v>244761.9</v>
      </c>
      <c r="E25" s="72"/>
      <c r="F25" s="13"/>
      <c r="G25" s="73"/>
      <c r="H25" s="76"/>
      <c r="I25" s="29" t="s">
        <v>39</v>
      </c>
      <c r="J25" s="29"/>
      <c r="K25" s="29"/>
      <c r="L25" s="23">
        <f>SUM(L18:L24)</f>
        <v>110000</v>
      </c>
      <c r="M25" s="23">
        <f>SUM(M18:M24)</f>
        <v>354761.9</v>
      </c>
      <c r="N25" s="12"/>
    </row>
    <row r="26" spans="1:14">
      <c r="B26" t="s">
        <v>66</v>
      </c>
      <c r="C26" s="2"/>
    </row>
  </sheetData>
  <mergeCells count="18">
    <mergeCell ref="H6:H7"/>
    <mergeCell ref="A14:A17"/>
    <mergeCell ref="B14:B17"/>
    <mergeCell ref="C14:C17"/>
    <mergeCell ref="D14:D17"/>
    <mergeCell ref="E14:L14"/>
    <mergeCell ref="B6:C6"/>
    <mergeCell ref="D6:D7"/>
    <mergeCell ref="E6:E7"/>
    <mergeCell ref="F6:F7"/>
    <mergeCell ref="G6:G7"/>
    <mergeCell ref="F19:H19"/>
    <mergeCell ref="I19:K19"/>
    <mergeCell ref="M14:M17"/>
    <mergeCell ref="E15:L15"/>
    <mergeCell ref="E16:E17"/>
    <mergeCell ref="F16:I16"/>
    <mergeCell ref="L16:L17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0"/>
  <sheetViews>
    <sheetView workbookViewId="0">
      <selection activeCell="H25" sqref="H25"/>
    </sheetView>
  </sheetViews>
  <sheetFormatPr defaultRowHeight="15"/>
  <cols>
    <col min="1" max="1" width="5.5703125" customWidth="1"/>
    <col min="2" max="2" width="23.42578125" customWidth="1"/>
    <col min="3" max="3" width="22.28515625" customWidth="1"/>
    <col min="4" max="5" width="11.42578125" customWidth="1"/>
    <col min="6" max="6" width="12.28515625" customWidth="1"/>
    <col min="7" max="7" width="11.7109375" customWidth="1"/>
    <col min="8" max="8" width="12" customWidth="1"/>
    <col min="9" max="9" width="10.28515625" customWidth="1"/>
    <col min="10" max="10" width="8.5703125" customWidth="1"/>
    <col min="12" max="12" width="10" customWidth="1"/>
    <col min="14" max="14" width="9.7109375" customWidth="1"/>
    <col min="16" max="16" width="9.7109375" customWidth="1"/>
  </cols>
  <sheetData>
    <row r="1" spans="1:17" ht="21">
      <c r="A1" s="51" t="s">
        <v>80</v>
      </c>
    </row>
    <row r="3" spans="1:17" s="10" customFormat="1" ht="14.65" customHeight="1">
      <c r="A3" s="375" t="s">
        <v>29</v>
      </c>
      <c r="B3" s="375" t="s">
        <v>23</v>
      </c>
      <c r="C3" s="375" t="s">
        <v>30</v>
      </c>
      <c r="D3" s="376" t="s">
        <v>24</v>
      </c>
      <c r="E3" s="399" t="s">
        <v>79</v>
      </c>
      <c r="F3" s="400"/>
      <c r="G3" s="400"/>
      <c r="H3" s="400"/>
      <c r="I3" s="400"/>
      <c r="J3" s="400"/>
      <c r="K3" s="400"/>
      <c r="L3" s="400"/>
      <c r="M3" s="400"/>
      <c r="N3" s="400"/>
      <c r="O3" s="401"/>
      <c r="P3" s="53" t="s">
        <v>53</v>
      </c>
    </row>
    <row r="4" spans="1:17" s="10" customFormat="1" ht="17.100000000000001" customHeight="1">
      <c r="A4" s="375"/>
      <c r="B4" s="375"/>
      <c r="C4" s="375"/>
      <c r="D4" s="377"/>
      <c r="E4" s="402"/>
      <c r="F4" s="403"/>
      <c r="G4" s="403"/>
      <c r="H4" s="403"/>
      <c r="I4" s="403"/>
      <c r="J4" s="403"/>
      <c r="K4" s="403"/>
      <c r="L4" s="403"/>
      <c r="M4" s="403"/>
      <c r="N4" s="403"/>
      <c r="O4" s="404"/>
      <c r="P4" s="54"/>
    </row>
    <row r="5" spans="1:17" s="10" customFormat="1" ht="53.65" customHeight="1">
      <c r="A5" s="375"/>
      <c r="B5" s="375"/>
      <c r="C5" s="375"/>
      <c r="D5" s="377"/>
      <c r="E5" s="377" t="s">
        <v>123</v>
      </c>
      <c r="F5" s="522" t="s">
        <v>120</v>
      </c>
      <c r="G5" s="522"/>
      <c r="H5" s="522"/>
      <c r="I5" s="522" t="s">
        <v>121</v>
      </c>
      <c r="J5" s="522"/>
      <c r="K5" s="522"/>
      <c r="L5" s="450" t="s">
        <v>122</v>
      </c>
      <c r="M5" s="451"/>
      <c r="N5" s="452"/>
      <c r="O5" s="379" t="s">
        <v>49</v>
      </c>
      <c r="P5" s="54"/>
    </row>
    <row r="6" spans="1:17" s="10" customFormat="1" ht="47.1" customHeight="1">
      <c r="A6" s="375"/>
      <c r="B6" s="375"/>
      <c r="C6" s="375"/>
      <c r="D6" s="378"/>
      <c r="E6" s="378"/>
      <c r="F6" s="90" t="s">
        <v>118</v>
      </c>
      <c r="G6" s="91" t="s">
        <v>106</v>
      </c>
      <c r="H6" s="92" t="s">
        <v>111</v>
      </c>
      <c r="I6" s="90" t="s">
        <v>118</v>
      </c>
      <c r="J6" s="93" t="s">
        <v>106</v>
      </c>
      <c r="K6" s="94" t="s">
        <v>111</v>
      </c>
      <c r="L6" s="90" t="s">
        <v>118</v>
      </c>
      <c r="M6" s="90" t="s">
        <v>106</v>
      </c>
      <c r="N6" s="95" t="s">
        <v>111</v>
      </c>
      <c r="O6" s="380"/>
      <c r="P6" s="55"/>
    </row>
    <row r="7" spans="1:17">
      <c r="A7" s="2"/>
      <c r="B7" s="2"/>
      <c r="C7" s="2" t="s">
        <v>116</v>
      </c>
      <c r="D7" s="15">
        <v>47400</v>
      </c>
      <c r="E7" s="15">
        <v>40000</v>
      </c>
      <c r="F7" s="96">
        <v>0.4</v>
      </c>
      <c r="G7" s="100">
        <v>1</v>
      </c>
      <c r="H7" s="25">
        <f>E7*F7*G7</f>
        <v>16000</v>
      </c>
      <c r="I7" s="96">
        <v>0.2</v>
      </c>
      <c r="J7" s="101">
        <v>1</v>
      </c>
      <c r="K7" s="28">
        <f>E7*I7*J7</f>
        <v>8000</v>
      </c>
      <c r="L7" s="87">
        <v>0.4</v>
      </c>
      <c r="M7" s="87">
        <v>1</v>
      </c>
      <c r="N7" s="98">
        <f>E7*L7*M7</f>
        <v>16000</v>
      </c>
      <c r="O7" s="23">
        <f>H7+K7+N7</f>
        <v>40000</v>
      </c>
      <c r="P7" s="23">
        <f t="shared" ref="P7:P12" si="0">D7+O7</f>
        <v>87400</v>
      </c>
      <c r="Q7" s="12"/>
    </row>
    <row r="8" spans="1:17">
      <c r="A8" s="2"/>
      <c r="B8" s="2" t="s">
        <v>67</v>
      </c>
      <c r="C8" s="2" t="s">
        <v>156</v>
      </c>
      <c r="D8" s="15">
        <v>30000</v>
      </c>
      <c r="E8" s="15">
        <v>40000</v>
      </c>
      <c r="F8" s="96">
        <v>0.4</v>
      </c>
      <c r="G8" s="100">
        <v>1</v>
      </c>
      <c r="H8" s="25">
        <f>E8*F8*G8</f>
        <v>16000</v>
      </c>
      <c r="I8" s="96">
        <v>0.2</v>
      </c>
      <c r="J8" s="101">
        <v>1</v>
      </c>
      <c r="K8" s="28">
        <f>E8*I8*J8</f>
        <v>8000</v>
      </c>
      <c r="L8" s="87">
        <v>0.4</v>
      </c>
      <c r="M8" s="87">
        <v>1</v>
      </c>
      <c r="N8" s="98">
        <f>E8*L8*M8</f>
        <v>16000</v>
      </c>
      <c r="O8" s="23">
        <f>H8+K8+N8</f>
        <v>40000</v>
      </c>
      <c r="P8" s="23">
        <f t="shared" si="0"/>
        <v>70000</v>
      </c>
      <c r="Q8" s="12"/>
    </row>
    <row r="9" spans="1:17">
      <c r="A9" s="2"/>
      <c r="B9" s="2" t="s">
        <v>67</v>
      </c>
      <c r="C9" s="2" t="s">
        <v>208</v>
      </c>
      <c r="D9" s="15">
        <v>50000</v>
      </c>
      <c r="E9" s="15"/>
      <c r="F9" s="96">
        <v>0.4</v>
      </c>
      <c r="G9" s="100">
        <v>1</v>
      </c>
      <c r="H9" s="25">
        <f>E9*F9*G9</f>
        <v>0</v>
      </c>
      <c r="I9" s="96">
        <v>0.2</v>
      </c>
      <c r="J9" s="101">
        <v>1</v>
      </c>
      <c r="K9" s="28">
        <f>E9*I9*J9</f>
        <v>0</v>
      </c>
      <c r="L9" s="87">
        <v>0.4</v>
      </c>
      <c r="M9" s="87">
        <v>1</v>
      </c>
      <c r="N9" s="98">
        <f>E9*L9*M9</f>
        <v>0</v>
      </c>
      <c r="O9" s="23">
        <f>H9+K9+N9</f>
        <v>0</v>
      </c>
      <c r="P9" s="23">
        <f t="shared" si="0"/>
        <v>50000</v>
      </c>
      <c r="Q9" s="12"/>
    </row>
    <row r="10" spans="1:17">
      <c r="A10" s="2"/>
      <c r="B10" s="2"/>
      <c r="C10" s="2" t="s">
        <v>224</v>
      </c>
      <c r="D10" s="15">
        <v>47619.05</v>
      </c>
      <c r="E10" s="15"/>
      <c r="F10" s="522" t="s">
        <v>124</v>
      </c>
      <c r="G10" s="522"/>
      <c r="H10" s="522"/>
      <c r="I10" s="96"/>
      <c r="J10" s="97"/>
      <c r="K10" s="28"/>
      <c r="L10" s="87"/>
      <c r="M10" s="87"/>
      <c r="N10" s="98"/>
      <c r="O10" s="23">
        <f>H10+K10+N10</f>
        <v>0</v>
      </c>
      <c r="P10" s="23">
        <f t="shared" si="0"/>
        <v>47619.05</v>
      </c>
      <c r="Q10" s="12"/>
    </row>
    <row r="11" spans="1:17">
      <c r="A11" s="2"/>
      <c r="B11" s="2" t="s">
        <v>68</v>
      </c>
      <c r="C11" s="2" t="s">
        <v>72</v>
      </c>
      <c r="D11" s="15">
        <v>30000</v>
      </c>
      <c r="E11" s="15">
        <v>40000</v>
      </c>
      <c r="F11" s="96">
        <v>1</v>
      </c>
      <c r="G11" s="102">
        <v>1</v>
      </c>
      <c r="H11" s="25">
        <f>E11*F11*G11</f>
        <v>40000</v>
      </c>
      <c r="I11" s="13"/>
      <c r="J11" s="20"/>
      <c r="K11" s="28"/>
      <c r="L11" s="13"/>
      <c r="M11" s="13"/>
      <c r="N11" s="98">
        <f>E11*L11*M11</f>
        <v>0</v>
      </c>
      <c r="O11" s="23">
        <f>H11+K11+N11</f>
        <v>40000</v>
      </c>
      <c r="P11" s="23">
        <f t="shared" si="0"/>
        <v>70000</v>
      </c>
      <c r="Q11" s="12"/>
    </row>
    <row r="12" spans="1:17">
      <c r="A12" s="2"/>
      <c r="B12" s="2"/>
      <c r="C12" s="2"/>
      <c r="D12" s="15">
        <f>SUM(D7:D11)</f>
        <v>205019.05</v>
      </c>
      <c r="E12" s="15"/>
      <c r="F12" s="11"/>
      <c r="G12" s="18"/>
      <c r="H12" s="26"/>
      <c r="I12" s="13"/>
      <c r="J12" s="20"/>
      <c r="K12" s="29"/>
      <c r="L12" s="13"/>
      <c r="M12" s="13"/>
      <c r="N12" s="22"/>
      <c r="O12" s="23">
        <f>SUM(O7:O11)</f>
        <v>120000</v>
      </c>
      <c r="P12" s="23">
        <f t="shared" si="0"/>
        <v>325019.05</v>
      </c>
      <c r="Q12" s="12"/>
    </row>
    <row r="23" spans="4:17">
      <c r="O23" s="12">
        <f>РД!K10</f>
        <v>200000</v>
      </c>
    </row>
    <row r="24" spans="4:17">
      <c r="D24" s="12" t="e">
        <f>#REF!+РД!D10+'НК, РГ'!F44+механики!F31+контролеры!D25+'СПТД, курьер'!D12</f>
        <v>#REF!</v>
      </c>
      <c r="O24" s="12">
        <f>'НК, РГ'!Q23+'НК, РГ'!U44+механики!S18+механики!S19+механики!S29+контролеры!L25+'СПТД, курьер'!O12</f>
        <v>1030700</v>
      </c>
      <c r="P24" s="12" t="e">
        <f>#REF!+РД!K10+'НК, РГ'!R23+'НК, РГ'!W44+механики!T18+механики!T29+контролеры!M25+'СПТД, курьер'!P12</f>
        <v>#REF!</v>
      </c>
    </row>
    <row r="25" spans="4:17">
      <c r="O25" s="12">
        <f>'НК, РГ'!S23+'НК, РГ'!T23+'НК, РГ'!X44+'НК, РГ'!Y44+'НК, РГ'!Z44</f>
        <v>0</v>
      </c>
      <c r="P25" s="12">
        <f>'НК, РГ'!R23+'НК, РГ'!W44+механики!T18+механики!T29+контролеры!M25+'СПТД, курьер'!P12</f>
        <v>2515353.8299999996</v>
      </c>
      <c r="Q25" t="s">
        <v>184</v>
      </c>
    </row>
    <row r="26" spans="4:17">
      <c r="O26" s="12">
        <f>O24-O25</f>
        <v>1030700</v>
      </c>
      <c r="P26" s="12" t="e">
        <f>РД!K10+#REF!</f>
        <v>#REF!</v>
      </c>
      <c r="Q26" t="s">
        <v>185</v>
      </c>
    </row>
    <row r="28" spans="4:17">
      <c r="O28" s="12" t="e">
        <f>РД!G10+'НК, РГ'!T20+'НК, РГ'!T21+'НК, РГ'!#REF!+'НК, РГ'!#REF!+'НК, РГ'!#REF!+'НК, РГ'!#REF!+'НК, РГ'!#REF!+'НК, РГ'!#REF!+'НК, РГ'!#REF!+'НК, РГ'!#REF!+'НК, РГ'!#REF!+'НК, РГ'!#REF!+'НК, РГ'!#REF!+'НК, РГ'!#REF!+'НК, РГ'!#REF!+механики!S18+механики!S19+контролеры!L18+контролеры!L21+контролеры!L22+контролеры!L23+контролеры!L24+'СПТД, курьер'!O12</f>
        <v>#REF!</v>
      </c>
      <c r="P28" s="12" t="e">
        <f>#REF!+РД!K10+'НК, РГ'!R23+'НК, РГ'!W44-'НК, РГ'!X44-'НК, РГ'!Y44-'НК, РГ'!Z44+механики!T31+контролеры!M25+'СПТД, курьер'!P12</f>
        <v>#REF!</v>
      </c>
    </row>
    <row r="30" spans="4:17">
      <c r="O30" s="12"/>
    </row>
  </sheetData>
  <mergeCells count="12">
    <mergeCell ref="F10:H10"/>
    <mergeCell ref="O5:O6"/>
    <mergeCell ref="A3:A6"/>
    <mergeCell ref="B3:B6"/>
    <mergeCell ref="C3:C6"/>
    <mergeCell ref="D3:D6"/>
    <mergeCell ref="F5:H5"/>
    <mergeCell ref="I5:K5"/>
    <mergeCell ref="L5:N5"/>
    <mergeCell ref="E3:O3"/>
    <mergeCell ref="E5:E6"/>
    <mergeCell ref="E4:O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Лист1</vt:lpstr>
      <vt:lpstr>СВОД</vt:lpstr>
      <vt:lpstr>РД</vt:lpstr>
      <vt:lpstr>НООВ</vt:lpstr>
      <vt:lpstr>НК, РГ</vt:lpstr>
      <vt:lpstr>мех</vt:lpstr>
      <vt:lpstr>ФОТ Д4</vt:lpstr>
      <vt:lpstr>РД4, ГМ</vt:lpstr>
      <vt:lpstr>Д4-ФОТ </vt:lpstr>
      <vt:lpstr>Зарплата НК по месяцам</vt:lpstr>
      <vt:lpstr>механики</vt:lpstr>
      <vt:lpstr>контролеры</vt:lpstr>
      <vt:lpstr>СПТД, курьер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Кутилин Рустам Владимирович</dc:creator>
  <cp:lastModifiedBy>Сайфетдинов Эдуард Кияметдинович</cp:lastModifiedBy>
  <cp:lastPrinted>2025-07-21T10:07:05Z</cp:lastPrinted>
  <dcterms:created xsi:type="dcterms:W3CDTF">2022-11-03T09:59:23Z</dcterms:created>
  <dcterms:modified xsi:type="dcterms:W3CDTF">2025-07-25T08:04:53Z</dcterms:modified>
</cp:coreProperties>
</file>